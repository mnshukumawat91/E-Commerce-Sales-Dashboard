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91998\Desktop\data Analytics\Excel\E commerce sales project\"/>
    </mc:Choice>
  </mc:AlternateContent>
  <xr:revisionPtr revIDLastSave="0" documentId="13_ncr:1_{FDE43A79-219A-4642-8EBC-55B8D8089572}"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Data_Dictionary" sheetId="2" r:id="rId2"/>
    <sheet name="Calculations" sheetId="3" r:id="rId3"/>
    <sheet name="pivot_table" sheetId="5" r:id="rId4"/>
    <sheet name="Dashboard" sheetId="12" r:id="rId5"/>
  </sheets>
  <definedNames>
    <definedName name="_xlnm._FilterDatabase" localSheetId="0" hidden="1">Raw_Data!$B$1:$B$1001</definedName>
    <definedName name="Slicer_Category">#N/A</definedName>
  </definedNames>
  <calcPr calcId="19102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D2" i="3"/>
  <c r="C2" i="3"/>
  <c r="B2" i="3"/>
  <c r="F2" i="3" s="1"/>
  <c r="A2" i="3"/>
  <c r="I3" i="12"/>
  <c r="B3" i="12"/>
  <c r="D3" i="12"/>
  <c r="F3" i="12" l="1"/>
  <c r="E2" i="3"/>
</calcChain>
</file>

<file path=xl/sharedStrings.xml><?xml version="1.0" encoding="utf-8"?>
<sst xmlns="http://schemas.openxmlformats.org/spreadsheetml/2006/main" count="10132" uniqueCount="1351">
  <si>
    <t>Order_ID</t>
  </si>
  <si>
    <t>Order_Date</t>
  </si>
  <si>
    <t>Customer_Name</t>
  </si>
  <si>
    <t>Category</t>
  </si>
  <si>
    <t>Sub_Category</t>
  </si>
  <si>
    <t>Product</t>
  </si>
  <si>
    <t>Quantity</t>
  </si>
  <si>
    <t>Sales</t>
  </si>
  <si>
    <t>Discount</t>
  </si>
  <si>
    <t>Profit</t>
  </si>
  <si>
    <t>Payment_Mode</t>
  </si>
  <si>
    <t>State</t>
  </si>
  <si>
    <t>City</t>
  </si>
  <si>
    <t>Region</t>
  </si>
  <si>
    <t>Customer_Type</t>
  </si>
  <si>
    <t>ORD100568</t>
  </si>
  <si>
    <t>Arjun Kumawat</t>
  </si>
  <si>
    <t>Furniture</t>
  </si>
  <si>
    <t>Bed</t>
  </si>
  <si>
    <t>Wallet</t>
  </si>
  <si>
    <t>Bihar</t>
  </si>
  <si>
    <t>Patna</t>
  </si>
  <si>
    <t>East</t>
  </si>
  <si>
    <t>Returning</t>
  </si>
  <si>
    <t>ORD100624</t>
  </si>
  <si>
    <t>Rahul Kumar</t>
  </si>
  <si>
    <t>Fashion</t>
  </si>
  <si>
    <t>Women Kurti</t>
  </si>
  <si>
    <t>Net Banking</t>
  </si>
  <si>
    <t>Delhi</t>
  </si>
  <si>
    <t>New Delhi</t>
  </si>
  <si>
    <t>North</t>
  </si>
  <si>
    <t>ORD100317</t>
  </si>
  <si>
    <t>Isha Kumar</t>
  </si>
  <si>
    <t>Home &amp; Kitchen</t>
  </si>
  <si>
    <t>Bedsheet</t>
  </si>
  <si>
    <t>Rajasthan</t>
  </si>
  <si>
    <t>Jodhpur</t>
  </si>
  <si>
    <t>West</t>
  </si>
  <si>
    <t>ORD100285</t>
  </si>
  <si>
    <t>Neha Yadav</t>
  </si>
  <si>
    <t>Coffee Maker</t>
  </si>
  <si>
    <t>West Bengal</t>
  </si>
  <si>
    <t>Kolkata</t>
  </si>
  <si>
    <t>New</t>
  </si>
  <si>
    <t>ORD100236</t>
  </si>
  <si>
    <t>Sahil Gupta</t>
  </si>
  <si>
    <t>Electronics</t>
  </si>
  <si>
    <t>Smartphone</t>
  </si>
  <si>
    <t>Debit Card</t>
  </si>
  <si>
    <t>ORD100164</t>
  </si>
  <si>
    <t>Karan Meena</t>
  </si>
  <si>
    <t>UPI</t>
  </si>
  <si>
    <t>Kerala</t>
  </si>
  <si>
    <t>Kochi</t>
  </si>
  <si>
    <t>South</t>
  </si>
  <si>
    <t>ORD100075</t>
  </si>
  <si>
    <t>Vikas Gupta</t>
  </si>
  <si>
    <t>Beauty</t>
  </si>
  <si>
    <t>Face Wash</t>
  </si>
  <si>
    <t>Gujarat</t>
  </si>
  <si>
    <t>Ahmedabad</t>
  </si>
  <si>
    <t>ORD100754</t>
  </si>
  <si>
    <t>Arjun Verma</t>
  </si>
  <si>
    <t>Men T-Shirt</t>
  </si>
  <si>
    <t>Cash on Delivery</t>
  </si>
  <si>
    <t>ORD100830</t>
  </si>
  <si>
    <t>Kavya Jain</t>
  </si>
  <si>
    <t>Books</t>
  </si>
  <si>
    <t>Novel</t>
  </si>
  <si>
    <t>Tamil Nadu</t>
  </si>
  <si>
    <t>Chennai</t>
  </si>
  <si>
    <t>ORD100071</t>
  </si>
  <si>
    <t>Ananya Jain</t>
  </si>
  <si>
    <t>Tablet</t>
  </si>
  <si>
    <t>Credit Card</t>
  </si>
  <si>
    <t>ORD100715</t>
  </si>
  <si>
    <t>Perfume</t>
  </si>
  <si>
    <t>Odisha</t>
  </si>
  <si>
    <t>Bhubaneswar</t>
  </si>
  <si>
    <t>ORD100232</t>
  </si>
  <si>
    <t>Arjun Kumar</t>
  </si>
  <si>
    <t>Bluetooth Speaker</t>
  </si>
  <si>
    <t>ORD100116</t>
  </si>
  <si>
    <t>Aman Gupta</t>
  </si>
  <si>
    <t>Office Chair</t>
  </si>
  <si>
    <t>Goa</t>
  </si>
  <si>
    <t>Panaji</t>
  </si>
  <si>
    <t>ORD100485</t>
  </si>
  <si>
    <t>Neha Sharma</t>
  </si>
  <si>
    <t>Bookshelf</t>
  </si>
  <si>
    <t>ORD100847</t>
  </si>
  <si>
    <t>Pooja Singh</t>
  </si>
  <si>
    <t>ORD100940</t>
  </si>
  <si>
    <t>Rohit Sharma</t>
  </si>
  <si>
    <t>Sports</t>
  </si>
  <si>
    <t>Yoga Mat</t>
  </si>
  <si>
    <t>Uttar Pradesh</t>
  </si>
  <si>
    <t>Noida</t>
  </si>
  <si>
    <t>ORD100501</t>
  </si>
  <si>
    <t>Aditya Jain</t>
  </si>
  <si>
    <t>Kota</t>
  </si>
  <si>
    <t>ORD100322</t>
  </si>
  <si>
    <t>Karan Kumawat</t>
  </si>
  <si>
    <t>Cricket Bat</t>
  </si>
  <si>
    <t>ORD100141</t>
  </si>
  <si>
    <t>Isha Gupta</t>
  </si>
  <si>
    <t>Mixer Grinder</t>
  </si>
  <si>
    <t>ORD100786</t>
  </si>
  <si>
    <t>Pooja Gupta</t>
  </si>
  <si>
    <t>Study Table</t>
  </si>
  <si>
    <t>ORD100128</t>
  </si>
  <si>
    <t>Vivaan Kumawat</t>
  </si>
  <si>
    <t>ORD100518</t>
  </si>
  <si>
    <t>Aman Kumawat</t>
  </si>
  <si>
    <t>ORD100591</t>
  </si>
  <si>
    <t>ORD100150</t>
  </si>
  <si>
    <t>Riya Meena</t>
  </si>
  <si>
    <t>Jeans</t>
  </si>
  <si>
    <t>ORD100698</t>
  </si>
  <si>
    <t>Business Book</t>
  </si>
  <si>
    <t>Karnataka</t>
  </si>
  <si>
    <t>Bengaluru</t>
  </si>
  <si>
    <t>ORD100014</t>
  </si>
  <si>
    <t>Aman Verma</t>
  </si>
  <si>
    <t>Badminton Racket</t>
  </si>
  <si>
    <t>ORD100414</t>
  </si>
  <si>
    <t>Nisha Yadav</t>
  </si>
  <si>
    <t>Jaipur</t>
  </si>
  <si>
    <t>ORD100574</t>
  </si>
  <si>
    <t>Aditya Yadav</t>
  </si>
  <si>
    <t>ORD100072</t>
  </si>
  <si>
    <t>Rohit Singh</t>
  </si>
  <si>
    <t>Jacket</t>
  </si>
  <si>
    <t>Telangana</t>
  </si>
  <si>
    <t>Hyderabad</t>
  </si>
  <si>
    <t>ORD100089</t>
  </si>
  <si>
    <t>Nisha Jain</t>
  </si>
  <si>
    <t>Skin Care Kit</t>
  </si>
  <si>
    <t>ORD100957</t>
  </si>
  <si>
    <t>Karan Jain</t>
  </si>
  <si>
    <t>ORD100696</t>
  </si>
  <si>
    <t>Aarav Meena</t>
  </si>
  <si>
    <t>Water Bottle</t>
  </si>
  <si>
    <t>ORD100492</t>
  </si>
  <si>
    <t>Arjun Gupta</t>
  </si>
  <si>
    <t>ORD100309</t>
  </si>
  <si>
    <t>Sneha Meena</t>
  </si>
  <si>
    <t>Sofa</t>
  </si>
  <si>
    <t>Maharashtra</t>
  </si>
  <si>
    <t>Mumbai</t>
  </si>
  <si>
    <t>ORD100943</t>
  </si>
  <si>
    <t>Aditya Sharma</t>
  </si>
  <si>
    <t>Data Analytics Book</t>
  </si>
  <si>
    <t>ORD100213</t>
  </si>
  <si>
    <t>Priya Agarwal</t>
  </si>
  <si>
    <t>ORD100504</t>
  </si>
  <si>
    <t>Neha Agarwal</t>
  </si>
  <si>
    <t>Dining Table</t>
  </si>
  <si>
    <t>Madhya Pradesh</t>
  </si>
  <si>
    <t>Indore</t>
  </si>
  <si>
    <t>ORD100543</t>
  </si>
  <si>
    <t>Pooja Jain</t>
  </si>
  <si>
    <t>Lucknow</t>
  </si>
  <si>
    <t>ORD100493</t>
  </si>
  <si>
    <t>Priya Verma</t>
  </si>
  <si>
    <t>ORD100347</t>
  </si>
  <si>
    <t>Kavya Agarwal</t>
  </si>
  <si>
    <t>ORD100052</t>
  </si>
  <si>
    <t>Sahil Kumawat</t>
  </si>
  <si>
    <t>Punjab</t>
  </si>
  <si>
    <t>Amritsar</t>
  </si>
  <si>
    <t>ORD100238</t>
  </si>
  <si>
    <t>ORD100481</t>
  </si>
  <si>
    <t>ORD100161</t>
  </si>
  <si>
    <t>Pune</t>
  </si>
  <si>
    <t>ORD100952</t>
  </si>
  <si>
    <t>ORD100351</t>
  </si>
  <si>
    <t>Shampoo</t>
  </si>
  <si>
    <t>ORD100219</t>
  </si>
  <si>
    <t>Vivaan Gupta</t>
  </si>
  <si>
    <t>ORD100220</t>
  </si>
  <si>
    <t>ORD100907</t>
  </si>
  <si>
    <t>Rohit Agarwal</t>
  </si>
  <si>
    <t>ORD100639</t>
  </si>
  <si>
    <t>Football</t>
  </si>
  <si>
    <t>ORD100760</t>
  </si>
  <si>
    <t>Rohit Kumar</t>
  </si>
  <si>
    <t>Sneakers</t>
  </si>
  <si>
    <t>ORD100027</t>
  </si>
  <si>
    <t>Aarav Singh</t>
  </si>
  <si>
    <t>ORD100003</t>
  </si>
  <si>
    <t>Aarav Kumawat</t>
  </si>
  <si>
    <t>ORD100447</t>
  </si>
  <si>
    <t>Laptop</t>
  </si>
  <si>
    <t>ORD100296</t>
  </si>
  <si>
    <t>Isha Yadav</t>
  </si>
  <si>
    <t>ORD100292</t>
  </si>
  <si>
    <t>Vivaan Jain</t>
  </si>
  <si>
    <t>ORD100651</t>
  </si>
  <si>
    <t>ORD100833</t>
  </si>
  <si>
    <t>Sneha Kumar</t>
  </si>
  <si>
    <t>ORD100649</t>
  </si>
  <si>
    <t>Ananya Kumar</t>
  </si>
  <si>
    <t>ORD100506</t>
  </si>
  <si>
    <t>ORD100354</t>
  </si>
  <si>
    <t>ORD100667</t>
  </si>
  <si>
    <t>Aditya Verma</t>
  </si>
  <si>
    <t>Haryana</t>
  </si>
  <si>
    <t>Gurugram</t>
  </si>
  <si>
    <t>ORD100486</t>
  </si>
  <si>
    <t>Sneha Agarwal</t>
  </si>
  <si>
    <t>ORD100978</t>
  </si>
  <si>
    <t>Rahul Meena</t>
  </si>
  <si>
    <t>Mouse</t>
  </si>
  <si>
    <t>ORD100535</t>
  </si>
  <si>
    <t>ORD100673</t>
  </si>
  <si>
    <t>ORD100827</t>
  </si>
  <si>
    <t>Karan Singh</t>
  </si>
  <si>
    <t>ORD100798</t>
  </si>
  <si>
    <t>Pooja Kumawat</t>
  </si>
  <si>
    <t>ORD100653</t>
  </si>
  <si>
    <t>ORD100207</t>
  </si>
  <si>
    <t>Nisha Singh</t>
  </si>
  <si>
    <t>Smart Watch</t>
  </si>
  <si>
    <t>ORD100873</t>
  </si>
  <si>
    <t>Kavya Verma</t>
  </si>
  <si>
    <t>Air Fryer</t>
  </si>
  <si>
    <t>ORD100495</t>
  </si>
  <si>
    <t>Priya Yadav</t>
  </si>
  <si>
    <t>ORD100305</t>
  </si>
  <si>
    <t>Rahul Verma</t>
  </si>
  <si>
    <t>ORD100683</t>
  </si>
  <si>
    <t>Vivaan Meena</t>
  </si>
  <si>
    <t>ORD100077</t>
  </si>
  <si>
    <t>Aditya Singh</t>
  </si>
  <si>
    <t>ORD100337</t>
  </si>
  <si>
    <t>Programming Book</t>
  </si>
  <si>
    <t>ORD100558</t>
  </si>
  <si>
    <t>ORD100894</t>
  </si>
  <si>
    <t>Headphones</t>
  </si>
  <si>
    <t>ORD101000</t>
  </si>
  <si>
    <t>Sahil Singh</t>
  </si>
  <si>
    <t>ORD100938</t>
  </si>
  <si>
    <t>Aditya Kumawat</t>
  </si>
  <si>
    <t>ORD100152</t>
  </si>
  <si>
    <t>ORD100994</t>
  </si>
  <si>
    <t>Pooja Kumar</t>
  </si>
  <si>
    <t>ORD100526</t>
  </si>
  <si>
    <t>Arjun Agarwal</t>
  </si>
  <si>
    <t>ORD100656</t>
  </si>
  <si>
    <t>Aditya Meena</t>
  </si>
  <si>
    <t>ORD100033</t>
  </si>
  <si>
    <t>Aman Agarwal</t>
  </si>
  <si>
    <t>ORD100104</t>
  </si>
  <si>
    <t>Simran Singh</t>
  </si>
  <si>
    <t>ORD100024</t>
  </si>
  <si>
    <t>Kavya Gupta</t>
  </si>
  <si>
    <t>ORD100734</t>
  </si>
  <si>
    <t>Pooja Yadav</t>
  </si>
  <si>
    <t>ORD100129</t>
  </si>
  <si>
    <t>Rahul Kumawat</t>
  </si>
  <si>
    <t>ORD100773</t>
  </si>
  <si>
    <t>Kavya Sharma</t>
  </si>
  <si>
    <t>ORD100291</t>
  </si>
  <si>
    <t>ORD100509</t>
  </si>
  <si>
    <t>Nisha Sharma</t>
  </si>
  <si>
    <t>ORD100364</t>
  </si>
  <si>
    <t>ORD100614</t>
  </si>
  <si>
    <t>Aman Sharma</t>
  </si>
  <si>
    <t>ORD100861</t>
  </si>
  <si>
    <t>Aarav Verma</t>
  </si>
  <si>
    <t>ORD100138</t>
  </si>
  <si>
    <t>Pooja Agarwal</t>
  </si>
  <si>
    <t>ORD100130</t>
  </si>
  <si>
    <t>Karan Kumar</t>
  </si>
  <si>
    <t>ORD100331</t>
  </si>
  <si>
    <t>ORD100108</t>
  </si>
  <si>
    <t>Sahil Verma</t>
  </si>
  <si>
    <t>ORD100420</t>
  </si>
  <si>
    <t>Aarav Jain</t>
  </si>
  <si>
    <t>ORD100281</t>
  </si>
  <si>
    <t>ORD100979</t>
  </si>
  <si>
    <t>ORD100235</t>
  </si>
  <si>
    <t>ORD100685</t>
  </si>
  <si>
    <t>Sahil Meena</t>
  </si>
  <si>
    <t>ORD100580</t>
  </si>
  <si>
    <t>Priya Meena</t>
  </si>
  <si>
    <t>ORD100712</t>
  </si>
  <si>
    <t>Aarav Kumar</t>
  </si>
  <si>
    <t>ORD100993</t>
  </si>
  <si>
    <t>Priya Gupta</t>
  </si>
  <si>
    <t>ORD100896</t>
  </si>
  <si>
    <t>ORD100400</t>
  </si>
  <si>
    <t>Kavya Yadav</t>
  </si>
  <si>
    <t>ORD100965</t>
  </si>
  <si>
    <t>Sahil Yadav</t>
  </si>
  <si>
    <t>ORD100742</t>
  </si>
  <si>
    <t>ORD100969</t>
  </si>
  <si>
    <t>Nisha Gupta</t>
  </si>
  <si>
    <t>ORD100604</t>
  </si>
  <si>
    <t>Rahul Singh</t>
  </si>
  <si>
    <t>Cookware Set</t>
  </si>
  <si>
    <t>ORD100739</t>
  </si>
  <si>
    <t>Kavya Meena</t>
  </si>
  <si>
    <t>ORD100142</t>
  </si>
  <si>
    <t>ORD100652</t>
  </si>
  <si>
    <t>Sneha Singh</t>
  </si>
  <si>
    <t>ORD100671</t>
  </si>
  <si>
    <t>Karan Verma</t>
  </si>
  <si>
    <t>ORD100563</t>
  </si>
  <si>
    <t>ORD100449</t>
  </si>
  <si>
    <t>Simran Gupta</t>
  </si>
  <si>
    <t>ORD100242</t>
  </si>
  <si>
    <t>Karan Yadav</t>
  </si>
  <si>
    <t>ORD100011</t>
  </si>
  <si>
    <t>Vivaan Sharma</t>
  </si>
  <si>
    <t>ORD100916</t>
  </si>
  <si>
    <t>ORD100968</t>
  </si>
  <si>
    <t>Arjun Jain</t>
  </si>
  <si>
    <t>ORD100679</t>
  </si>
  <si>
    <t>ORD100394</t>
  </si>
  <si>
    <t>Rahul Gupta</t>
  </si>
  <si>
    <t>ORD100678</t>
  </si>
  <si>
    <t>ORD100851</t>
  </si>
  <si>
    <t>ORD100982</t>
  </si>
  <si>
    <t>ORD100019</t>
  </si>
  <si>
    <t>Simran Kumar</t>
  </si>
  <si>
    <t>ORD100297</t>
  </si>
  <si>
    <t>ORD100499</t>
  </si>
  <si>
    <t>ORD100452</t>
  </si>
  <si>
    <t>Sahil Kumar</t>
  </si>
  <si>
    <t>ORD100062</t>
  </si>
  <si>
    <t>Priya Sharma</t>
  </si>
  <si>
    <t>ORD100055</t>
  </si>
  <si>
    <t>Ananya Sharma</t>
  </si>
  <si>
    <t>ORD100289</t>
  </si>
  <si>
    <t>Neha Singh</t>
  </si>
  <si>
    <t>ORD100094</t>
  </si>
  <si>
    <t>ORD100565</t>
  </si>
  <si>
    <t>ORD100700</t>
  </si>
  <si>
    <t>Rohit Yadav</t>
  </si>
  <si>
    <t>ORD100222</t>
  </si>
  <si>
    <t>Kavya Kumawat</t>
  </si>
  <si>
    <t>ORD100611</t>
  </si>
  <si>
    <t>Pooja Meena</t>
  </si>
  <si>
    <t>ORD100538</t>
  </si>
  <si>
    <t>Ananya Agarwal</t>
  </si>
  <si>
    <t>ORD100838</t>
  </si>
  <si>
    <t>Isha Jain</t>
  </si>
  <si>
    <t>ORD100897</t>
  </si>
  <si>
    <t>Aarav Agarwal</t>
  </si>
  <si>
    <t>ORD100835</t>
  </si>
  <si>
    <t>Isha Verma</t>
  </si>
  <si>
    <t>ORD100949</t>
  </si>
  <si>
    <t>Karan Gupta</t>
  </si>
  <si>
    <t>ORD100610</t>
  </si>
  <si>
    <t>ORD100587</t>
  </si>
  <si>
    <t>ORD100581</t>
  </si>
  <si>
    <t>Rohit Gupta</t>
  </si>
  <si>
    <t>ORD100415</t>
  </si>
  <si>
    <t>ORD100645</t>
  </si>
  <si>
    <t>ORD100031</t>
  </si>
  <si>
    <t>ORD100553</t>
  </si>
  <si>
    <t>Sneha Gupta</t>
  </si>
  <si>
    <t>ORD100850</t>
  </si>
  <si>
    <t>Neha Verma</t>
  </si>
  <si>
    <t>ORD100531</t>
  </si>
  <si>
    <t>Keyboard</t>
  </si>
  <si>
    <t>ORD100837</t>
  </si>
  <si>
    <t>Riya Sharma</t>
  </si>
  <si>
    <t>ORD100976</t>
  </si>
  <si>
    <t>ORD100247</t>
  </si>
  <si>
    <t>ORD100923</t>
  </si>
  <si>
    <t>ORD100113</t>
  </si>
  <si>
    <t>ORD100664</t>
  </si>
  <si>
    <t>ORD100078</t>
  </si>
  <si>
    <t>ORD100274</t>
  </si>
  <si>
    <t>Aditya Agarwal</t>
  </si>
  <si>
    <t>ORD100095</t>
  </si>
  <si>
    <t>Vikas Singh</t>
  </si>
  <si>
    <t>ORD100013</t>
  </si>
  <si>
    <t>ORD100597</t>
  </si>
  <si>
    <t>Riya Singh</t>
  </si>
  <si>
    <t>ORD100454</t>
  </si>
  <si>
    <t>ORD100396</t>
  </si>
  <si>
    <t>Simran Sharma</t>
  </si>
  <si>
    <t>ORD100488</t>
  </si>
  <si>
    <t>ORD100353</t>
  </si>
  <si>
    <t>ORD100300</t>
  </si>
  <si>
    <t>ORD100200</t>
  </si>
  <si>
    <t>ORD100307</t>
  </si>
  <si>
    <t>ORD100834</t>
  </si>
  <si>
    <t>ORD100658</t>
  </si>
  <si>
    <t>ORD100756</t>
  </si>
  <si>
    <t>ORD100928</t>
  </si>
  <si>
    <t>ORD100881</t>
  </si>
  <si>
    <t>ORD100086</t>
  </si>
  <si>
    <t>Rohit Meena</t>
  </si>
  <si>
    <t>ORD100191</t>
  </si>
  <si>
    <t>Ananya Meena</t>
  </si>
  <si>
    <t>ORD100423</t>
  </si>
  <si>
    <t>Simran Verma</t>
  </si>
  <si>
    <t>ORD100605</t>
  </si>
  <si>
    <t>ORD100788</t>
  </si>
  <si>
    <t>ORD100316</t>
  </si>
  <si>
    <t>ORD100859</t>
  </si>
  <si>
    <t>ORD100205</t>
  </si>
  <si>
    <t>ORD100365</t>
  </si>
  <si>
    <t>ORD100048</t>
  </si>
  <si>
    <t>ORD100598</t>
  </si>
  <si>
    <t>ORD100388</t>
  </si>
  <si>
    <t>ORD100403</t>
  </si>
  <si>
    <t>Vivaan Kumar</t>
  </si>
  <si>
    <t>ORD100677</t>
  </si>
  <si>
    <t>Riya Agarwal</t>
  </si>
  <si>
    <t>ORD100372</t>
  </si>
  <si>
    <t>Sneha Jain</t>
  </si>
  <si>
    <t>ORD100262</t>
  </si>
  <si>
    <t>Vikas Sharma</t>
  </si>
  <si>
    <t>ORD100143</t>
  </si>
  <si>
    <t>ORD100824</t>
  </si>
  <si>
    <t>Riya Yadav</t>
  </si>
  <si>
    <t>ORD100659</t>
  </si>
  <si>
    <t>Isha Singh</t>
  </si>
  <si>
    <t>ORD100393</t>
  </si>
  <si>
    <t>ORD100134</t>
  </si>
  <si>
    <t>ORD100308</t>
  </si>
  <si>
    <t>ORD100622</t>
  </si>
  <si>
    <t>Aman Kumar</t>
  </si>
  <si>
    <t>ORD100063</t>
  </si>
  <si>
    <t>ORD100525</t>
  </si>
  <si>
    <t>Aditya Kumar</t>
  </si>
  <si>
    <t>ORD100514</t>
  </si>
  <si>
    <t>ORD100974</t>
  </si>
  <si>
    <t>Vikas Kumawat</t>
  </si>
  <si>
    <t>ORD100169</t>
  </si>
  <si>
    <t>Sneha Sharma</t>
  </si>
  <si>
    <t>ORD100426</t>
  </si>
  <si>
    <t>Vikas Jain</t>
  </si>
  <si>
    <t>ORD100341</t>
  </si>
  <si>
    <t>Isha Sharma</t>
  </si>
  <si>
    <t>ORD100980</t>
  </si>
  <si>
    <t>Nisha Kumar</t>
  </si>
  <si>
    <t>ORD100237</t>
  </si>
  <si>
    <t>Aman Meena</t>
  </si>
  <si>
    <t>ORD100165</t>
  </si>
  <si>
    <t>ORD100368</t>
  </si>
  <si>
    <t>ORD100460</t>
  </si>
  <si>
    <t>ORD100469</t>
  </si>
  <si>
    <t>Vivaan Agarwal</t>
  </si>
  <si>
    <t>ORD100342</t>
  </si>
  <si>
    <t>ORD100180</t>
  </si>
  <si>
    <t>Sahil Agarwal</t>
  </si>
  <si>
    <t>ORD100137</t>
  </si>
  <si>
    <t>ORD100194</t>
  </si>
  <si>
    <t>ORD100054</t>
  </si>
  <si>
    <t>ORD100646</t>
  </si>
  <si>
    <t>ORD100747</t>
  </si>
  <si>
    <t>Aman Jain</t>
  </si>
  <si>
    <t>ORD100960</t>
  </si>
  <si>
    <t>ORD100947</t>
  </si>
  <si>
    <t>ORD100939</t>
  </si>
  <si>
    <t>Isha Agarwal</t>
  </si>
  <si>
    <t>ORD100168</t>
  </si>
  <si>
    <t>ORD100618</t>
  </si>
  <si>
    <t>ORD100924</t>
  </si>
  <si>
    <t>Ananya Singh</t>
  </si>
  <si>
    <t>ORD100349</t>
  </si>
  <si>
    <t>ORD100196</t>
  </si>
  <si>
    <t>ORD100060</t>
  </si>
  <si>
    <t>ORD100934</t>
  </si>
  <si>
    <t>Kavya Kumar</t>
  </si>
  <si>
    <t>ORD100900</t>
  </si>
  <si>
    <t>Aditya Gupta</t>
  </si>
  <si>
    <t>ORD100494</t>
  </si>
  <si>
    <t>ORD100887</t>
  </si>
  <si>
    <t>Simran Jain</t>
  </si>
  <si>
    <t>ORD100101</t>
  </si>
  <si>
    <t>ORD100996</t>
  </si>
  <si>
    <t>ORD100612</t>
  </si>
  <si>
    <t>Pooja Sharma</t>
  </si>
  <si>
    <t>ORD100765</t>
  </si>
  <si>
    <t>Nisha Agarwal</t>
  </si>
  <si>
    <t>ORD100084</t>
  </si>
  <si>
    <t>ORD100344</t>
  </si>
  <si>
    <t>Simran Kumawat</t>
  </si>
  <si>
    <t>ORD100842</t>
  </si>
  <si>
    <t>ORD100567</t>
  </si>
  <si>
    <t>Ananya Kumawat</t>
  </si>
  <si>
    <t>ORD100530</t>
  </si>
  <si>
    <t>ORD100736</t>
  </si>
  <si>
    <t>Vikas Verma</t>
  </si>
  <si>
    <t>ORD100432</t>
  </si>
  <si>
    <t>ORD100382</t>
  </si>
  <si>
    <t>ORD100764</t>
  </si>
  <si>
    <t>Sneha Verma</t>
  </si>
  <si>
    <t>ORD100665</t>
  </si>
  <si>
    <t>ORD100936</t>
  </si>
  <si>
    <t>ORD100445</t>
  </si>
  <si>
    <t>Ananya Verma</t>
  </si>
  <si>
    <t>ORD100753</t>
  </si>
  <si>
    <t>ORD100573</t>
  </si>
  <si>
    <t>ORD100809</t>
  </si>
  <si>
    <t>ORD100384</t>
  </si>
  <si>
    <t>ORD100039</t>
  </si>
  <si>
    <t>ORD100030</t>
  </si>
  <si>
    <t>Ananya Gupta</t>
  </si>
  <si>
    <t>ORD100878</t>
  </si>
  <si>
    <t>ORD100412</t>
  </si>
  <si>
    <t>ORD100822</t>
  </si>
  <si>
    <t>ORD100608</t>
  </si>
  <si>
    <t>ORD100971</t>
  </si>
  <si>
    <t>ORD100346</t>
  </si>
  <si>
    <t>ORD100674</t>
  </si>
  <si>
    <t>ORD100425</t>
  </si>
  <si>
    <t>ORD100109</t>
  </si>
  <si>
    <t>Rohit Jain</t>
  </si>
  <si>
    <t>ORD100127</t>
  </si>
  <si>
    <t>ORD100497</t>
  </si>
  <si>
    <t>Riya Verma</t>
  </si>
  <si>
    <t>ORD100482</t>
  </si>
  <si>
    <t>ORD100686</t>
  </si>
  <si>
    <t>Neha Gupta</t>
  </si>
  <si>
    <t>ORD100059</t>
  </si>
  <si>
    <t>ORD100273</t>
  </si>
  <si>
    <t>Neha Kumar</t>
  </si>
  <si>
    <t>ORD100704</t>
  </si>
  <si>
    <t>ORD100714</t>
  </si>
  <si>
    <t>ORD100035</t>
  </si>
  <si>
    <t>ORD100405</t>
  </si>
  <si>
    <t>ORD100906</t>
  </si>
  <si>
    <t>ORD100749</t>
  </si>
  <si>
    <t>Priya Singh</t>
  </si>
  <si>
    <t>ORD100797</t>
  </si>
  <si>
    <t>ORD100680</t>
  </si>
  <si>
    <t>ORD100197</t>
  </si>
  <si>
    <t>ORD100750</t>
  </si>
  <si>
    <t>ORD100314</t>
  </si>
  <si>
    <t>ORD100779</t>
  </si>
  <si>
    <t>Kavya Singh</t>
  </si>
  <si>
    <t>ORD100217</t>
  </si>
  <si>
    <t>ORD100789</t>
  </si>
  <si>
    <t>ORD100556</t>
  </si>
  <si>
    <t>ORD100927</t>
  </si>
  <si>
    <t>ORD100846</t>
  </si>
  <si>
    <t>ORD100408</t>
  </si>
  <si>
    <t>ORD100147</t>
  </si>
  <si>
    <t>ORD100361</t>
  </si>
  <si>
    <t>ORD100705</t>
  </si>
  <si>
    <t>ORD100823</t>
  </si>
  <si>
    <t>Vivaan Singh</t>
  </si>
  <si>
    <t>ORD100172</t>
  </si>
  <si>
    <t>ORD100380</t>
  </si>
  <si>
    <t>Nisha Kumawat</t>
  </si>
  <si>
    <t>ORD100321</t>
  </si>
  <si>
    <t>Rohit Verma</t>
  </si>
  <si>
    <t>ORD100119</t>
  </si>
  <si>
    <t>ORD100588</t>
  </si>
  <si>
    <t>Priya Kumar</t>
  </si>
  <si>
    <t>ORD100958</t>
  </si>
  <si>
    <t>ORD100330</t>
  </si>
  <si>
    <t>Priya Kumawat</t>
  </si>
  <si>
    <t>ORD100554</t>
  </si>
  <si>
    <t>ORD100702</t>
  </si>
  <si>
    <t>ORD100933</t>
  </si>
  <si>
    <t>Sahil Sharma</t>
  </si>
  <si>
    <t>ORD100584</t>
  </si>
  <si>
    <t>ORD100507</t>
  </si>
  <si>
    <t>ORD100066</t>
  </si>
  <si>
    <t>ORD100074</t>
  </si>
  <si>
    <t>ORD100369</t>
  </si>
  <si>
    <t>Pooja Verma</t>
  </si>
  <si>
    <t>ORD100397</t>
  </si>
  <si>
    <t>ORD100218</t>
  </si>
  <si>
    <t>ORD100018</t>
  </si>
  <si>
    <t>ORD100929</t>
  </si>
  <si>
    <t>ORD100672</t>
  </si>
  <si>
    <t>ORD100328</t>
  </si>
  <si>
    <t>ORD100025</t>
  </si>
  <si>
    <t>ORD100430</t>
  </si>
  <si>
    <t>ORD100534</t>
  </si>
  <si>
    <t>ORD100171</t>
  </si>
  <si>
    <t>ORD100484</t>
  </si>
  <si>
    <t>ORD100037</t>
  </si>
  <si>
    <t>ORD100844</t>
  </si>
  <si>
    <t>ORD100176</t>
  </si>
  <si>
    <t>ORD100058</t>
  </si>
  <si>
    <t>ORD100402</t>
  </si>
  <si>
    <t>ORD100203</t>
  </si>
  <si>
    <t>ORD100663</t>
  </si>
  <si>
    <t>ORD100256</t>
  </si>
  <si>
    <t>ORD100088</t>
  </si>
  <si>
    <t>ORD100338</t>
  </si>
  <si>
    <t>ORD100931</t>
  </si>
  <si>
    <t>ORD100577</t>
  </si>
  <si>
    <t>ORD100638</t>
  </si>
  <si>
    <t>Vikas Meena</t>
  </si>
  <si>
    <t>ORD100650</t>
  </si>
  <si>
    <t>ORD100552</t>
  </si>
  <si>
    <t>ORD100181</t>
  </si>
  <si>
    <t>ORD100279</t>
  </si>
  <si>
    <t>ORD100860</t>
  </si>
  <si>
    <t>Rahul Sharma</t>
  </si>
  <si>
    <t>ORD100557</t>
  </si>
  <si>
    <t>ORD100666</t>
  </si>
  <si>
    <t>ORD100637</t>
  </si>
  <si>
    <t>ORD100216</t>
  </si>
  <si>
    <t>ORD100836</t>
  </si>
  <si>
    <t>ORD100921</t>
  </si>
  <si>
    <t>ORD100991</t>
  </si>
  <si>
    <t>ORD100022</t>
  </si>
  <si>
    <t>ORD100606</t>
  </si>
  <si>
    <t>ORD100944</t>
  </si>
  <si>
    <t>ORD100476</t>
  </si>
  <si>
    <t>ORD100771</t>
  </si>
  <si>
    <t>ORD100462</t>
  </si>
  <si>
    <t>Neha Jain</t>
  </si>
  <si>
    <t>ORD100681</t>
  </si>
  <si>
    <t>ORD100785</t>
  </si>
  <si>
    <t>ORD100687</t>
  </si>
  <si>
    <t>Simran Yadav</t>
  </si>
  <si>
    <t>ORD100081</t>
  </si>
  <si>
    <t>ORD100853</t>
  </si>
  <si>
    <t>ORD100564</t>
  </si>
  <si>
    <t>Riya Gupta</t>
  </si>
  <si>
    <t>ORD100967</t>
  </si>
  <si>
    <t>ORD100922</t>
  </si>
  <si>
    <t>ORD100839</t>
  </si>
  <si>
    <t>ORD100806</t>
  </si>
  <si>
    <t>ORD100792</t>
  </si>
  <si>
    <t>ORD100992</t>
  </si>
  <si>
    <t>ORD100655</t>
  </si>
  <si>
    <t>ORD100429</t>
  </si>
  <si>
    <t>ORD100475</t>
  </si>
  <si>
    <t>ORD100092</t>
  </si>
  <si>
    <t>ORD100805</t>
  </si>
  <si>
    <t>ORD100983</t>
  </si>
  <si>
    <t>ORD100903</t>
  </si>
  <si>
    <t>ORD100311</t>
  </si>
  <si>
    <t>ORD100312</t>
  </si>
  <si>
    <t>ORD100909</t>
  </si>
  <si>
    <t>ORD100970</t>
  </si>
  <si>
    <t>ORD100056</t>
  </si>
  <si>
    <t>ORD100186</t>
  </si>
  <si>
    <t>ORD100662</t>
  </si>
  <si>
    <t>ORD100226</t>
  </si>
  <si>
    <t>ORD100769</t>
  </si>
  <si>
    <t>ORD100065</t>
  </si>
  <si>
    <t>ORD100355</t>
  </si>
  <si>
    <t>ORD100762</t>
  </si>
  <si>
    <t>Aman Yadav</t>
  </si>
  <si>
    <t>ORD100962</t>
  </si>
  <si>
    <t>ORD100919</t>
  </si>
  <si>
    <t>Riya Kumawat</t>
  </si>
  <si>
    <t>ORD100989</t>
  </si>
  <si>
    <t>ORD100963</t>
  </si>
  <si>
    <t>ORD100303</t>
  </si>
  <si>
    <t>ORD100522</t>
  </si>
  <si>
    <t>ORD100091</t>
  </si>
  <si>
    <t>ORD100373</t>
  </si>
  <si>
    <t>Riya Kumar</t>
  </si>
  <si>
    <t>ORD100233</t>
  </si>
  <si>
    <t>Priya Jain</t>
  </si>
  <si>
    <t>ORD100856</t>
  </si>
  <si>
    <t>ORD100252</t>
  </si>
  <si>
    <t>ORD100795</t>
  </si>
  <si>
    <t>Arjun Sharma</t>
  </si>
  <si>
    <t>ORD100682</t>
  </si>
  <si>
    <t>ORD100799</t>
  </si>
  <si>
    <t>ORD100590</t>
  </si>
  <si>
    <t>ORD100901</t>
  </si>
  <si>
    <t>ORD100073</t>
  </si>
  <si>
    <t>ORD100575</t>
  </si>
  <si>
    <t>ORD100615</t>
  </si>
  <si>
    <t>ORD100254</t>
  </si>
  <si>
    <t>ORD100719</t>
  </si>
  <si>
    <t>Arjun Singh</t>
  </si>
  <si>
    <t>ORD100540</t>
  </si>
  <si>
    <t>ORD100688</t>
  </si>
  <si>
    <t>Nisha Meena</t>
  </si>
  <si>
    <t>ORD100021</t>
  </si>
  <si>
    <t>ORD100709</t>
  </si>
  <si>
    <t>ORD100825</t>
  </si>
  <si>
    <t>ORD100472</t>
  </si>
  <si>
    <t>ORD100569</t>
  </si>
  <si>
    <t>ORD100076</t>
  </si>
  <si>
    <t>Aarav Gupta</t>
  </si>
  <si>
    <t>ORD100804</t>
  </si>
  <si>
    <t>ORD100772</t>
  </si>
  <si>
    <t>Vikas Agarwal</t>
  </si>
  <si>
    <t>ORD100912</t>
  </si>
  <si>
    <t>ORD100163</t>
  </si>
  <si>
    <t>ORD100708</t>
  </si>
  <si>
    <t>ORD100455</t>
  </si>
  <si>
    <t>ORD100592</t>
  </si>
  <si>
    <t>ORD100153</t>
  </si>
  <si>
    <t>ORD100815</t>
  </si>
  <si>
    <t>ORD100808</t>
  </si>
  <si>
    <t>ORD100177</t>
  </si>
  <si>
    <t>Sahil Jain</t>
  </si>
  <si>
    <t>ORD100206</t>
  </si>
  <si>
    <t>ORD100002</t>
  </si>
  <si>
    <t>ORD100085</t>
  </si>
  <si>
    <t>ORD100366</t>
  </si>
  <si>
    <t>ORD100097</t>
  </si>
  <si>
    <t>Neha Meena</t>
  </si>
  <si>
    <t>ORD100286</t>
  </si>
  <si>
    <t>ORD100146</t>
  </si>
  <si>
    <t>ORD100676</t>
  </si>
  <si>
    <t>ORD100954</t>
  </si>
  <si>
    <t>ORD100246</t>
  </si>
  <si>
    <t>ORD100067</t>
  </si>
  <si>
    <t>ORD100528</t>
  </si>
  <si>
    <t>ORD100796</t>
  </si>
  <si>
    <t>ORD100395</t>
  </si>
  <si>
    <t>ORD100416</t>
  </si>
  <si>
    <t>ORD100398</t>
  </si>
  <si>
    <t>ORD100790</t>
  </si>
  <si>
    <t>ORD100087</t>
  </si>
  <si>
    <t>ORD100541</t>
  </si>
  <si>
    <t>Vivaan Yadav</t>
  </si>
  <si>
    <t>ORD100174</t>
  </si>
  <si>
    <t>ORD100106</t>
  </si>
  <si>
    <t>Isha Kumawat</t>
  </si>
  <si>
    <t>ORD100915</t>
  </si>
  <si>
    <t>Rahul Yadav</t>
  </si>
  <si>
    <t>ORD100258</t>
  </si>
  <si>
    <t>ORD100467</t>
  </si>
  <si>
    <t>Vikas Kumar</t>
  </si>
  <si>
    <t>ORD100179</t>
  </si>
  <si>
    <t>ORD100234</t>
  </si>
  <si>
    <t>ORD100623</t>
  </si>
  <si>
    <t>ORD100371</t>
  </si>
  <si>
    <t>ORD100470</t>
  </si>
  <si>
    <t>Riya Jain</t>
  </si>
  <si>
    <t>ORD100777</t>
  </si>
  <si>
    <t>ORD100631</t>
  </si>
  <si>
    <t>ORD100026</t>
  </si>
  <si>
    <t>ORD100913</t>
  </si>
  <si>
    <t>ORD100284</t>
  </si>
  <si>
    <t>ORD100647</t>
  </si>
  <si>
    <t>ORD100437</t>
  </si>
  <si>
    <t>ORD100905</t>
  </si>
  <si>
    <t>ORD100633</t>
  </si>
  <si>
    <t>ORD100579</t>
  </si>
  <si>
    <t>ORD100864</t>
  </si>
  <si>
    <t>ORD100343</t>
  </si>
  <si>
    <t>Aarav Sharma</t>
  </si>
  <si>
    <t>ORD100239</t>
  </si>
  <si>
    <t>ORD100209</t>
  </si>
  <si>
    <t>ORD100829</t>
  </si>
  <si>
    <t>ORD100512</t>
  </si>
  <si>
    <t>ORD100890</t>
  </si>
  <si>
    <t>ORD100159</t>
  </si>
  <si>
    <t>ORD100215</t>
  </si>
  <si>
    <t>ORD100496</t>
  </si>
  <si>
    <t>ORD100595</t>
  </si>
  <si>
    <t>ORD100029</t>
  </si>
  <si>
    <t>ORD100812</t>
  </si>
  <si>
    <t>ORD100212</t>
  </si>
  <si>
    <t>ORD100510</t>
  </si>
  <si>
    <t>ORD100360</t>
  </si>
  <si>
    <t>ORD100301</t>
  </si>
  <si>
    <t>ORD100871</t>
  </si>
  <si>
    <t>ORD100642</t>
  </si>
  <si>
    <t>Isha Meena</t>
  </si>
  <si>
    <t>ORD100125</t>
  </si>
  <si>
    <t>Sneha Yadav</t>
  </si>
  <si>
    <t>ORD100198</t>
  </si>
  <si>
    <t>ORD100918</t>
  </si>
  <si>
    <t>ORD100953</t>
  </si>
  <si>
    <t>ORD100533</t>
  </si>
  <si>
    <t>Neha Kumawat</t>
  </si>
  <si>
    <t>ORD100692</t>
  </si>
  <si>
    <t>ORD100546</t>
  </si>
  <si>
    <t>ORD100042</t>
  </si>
  <si>
    <t>ORD100582</t>
  </si>
  <si>
    <t>ORD100458</t>
  </si>
  <si>
    <t>Arjun Meena</t>
  </si>
  <si>
    <t>ORD100843</t>
  </si>
  <si>
    <t>ORD100333</t>
  </si>
  <si>
    <t>ORD100852</t>
  </si>
  <si>
    <t>ORD100096</t>
  </si>
  <si>
    <t>ORD100701</t>
  </si>
  <si>
    <t>ORD100211</t>
  </si>
  <si>
    <t>ORD100118</t>
  </si>
  <si>
    <t>ORD100046</t>
  </si>
  <si>
    <t>ORD100738</t>
  </si>
  <si>
    <t>ORD100988</t>
  </si>
  <si>
    <t>ORD100621</t>
  </si>
  <si>
    <t>Aarav Yadav</t>
  </si>
  <si>
    <t>ORD100607</t>
  </si>
  <si>
    <t>ORD100585</t>
  </si>
  <si>
    <t>ORD100644</t>
  </si>
  <si>
    <t>Rohit Kumawat</t>
  </si>
  <si>
    <t>ORD100858</t>
  </si>
  <si>
    <t>ORD100966</t>
  </si>
  <si>
    <t>ORD100478</t>
  </si>
  <si>
    <t>ORD100763</t>
  </si>
  <si>
    <t>ORD100780</t>
  </si>
  <si>
    <t>ORD100294</t>
  </si>
  <si>
    <t>ORD100293</t>
  </si>
  <si>
    <t>ORD100201</t>
  </si>
  <si>
    <t>ORD100889</t>
  </si>
  <si>
    <t>ORD100521</t>
  </si>
  <si>
    <t>ORD100914</t>
  </si>
  <si>
    <t>ORD100515</t>
  </si>
  <si>
    <t>ORD100937</t>
  </si>
  <si>
    <t>ORD100707</t>
  </si>
  <si>
    <t>ORD100436</t>
  </si>
  <si>
    <t>ORD100519</t>
  </si>
  <si>
    <t>ORD100007</t>
  </si>
  <si>
    <t>ORD100421</t>
  </si>
  <si>
    <t>ORD100571</t>
  </si>
  <si>
    <t>ORD100045</t>
  </si>
  <si>
    <t>ORD100537</t>
  </si>
  <si>
    <t>ORD100406</t>
  </si>
  <si>
    <t>ORD100987</t>
  </si>
  <si>
    <t>ORD100477</t>
  </si>
  <si>
    <t>ORD100122</t>
  </si>
  <si>
    <t>Rahul Agarwal</t>
  </si>
  <si>
    <t>ORD100339</t>
  </si>
  <si>
    <t>ORD100706</t>
  </si>
  <si>
    <t>ORD100313</t>
  </si>
  <si>
    <t>ORD100332</t>
  </si>
  <si>
    <t>ORD100275</t>
  </si>
  <si>
    <t>ORD100044</t>
  </si>
  <si>
    <t>Simran Agarwal</t>
  </si>
  <si>
    <t>ORD100444</t>
  </si>
  <si>
    <t>ORD100911</t>
  </si>
  <si>
    <t>ORD100875</t>
  </si>
  <si>
    <t>ORD100123</t>
  </si>
  <si>
    <t>ORD100439</t>
  </si>
  <si>
    <t>ORD100225</t>
  </si>
  <si>
    <t>ORD100984</t>
  </si>
  <si>
    <t>ORD100857</t>
  </si>
  <si>
    <t>ORD100600</t>
  </si>
  <si>
    <t>ORD100723</t>
  </si>
  <si>
    <t>ORD100721</t>
  </si>
  <si>
    <t>ORD100433</t>
  </si>
  <si>
    <t>ORD100619</t>
  </si>
  <si>
    <t>ORD100381</t>
  </si>
  <si>
    <t>ORD100259</t>
  </si>
  <si>
    <t>ORD100145</t>
  </si>
  <si>
    <t>ORD100892</t>
  </si>
  <si>
    <t>ORD100848</t>
  </si>
  <si>
    <t>ORD100720</t>
  </si>
  <si>
    <t>ORD100670</t>
  </si>
  <si>
    <t>ORD100726</t>
  </si>
  <si>
    <t>ORD100783</t>
  </si>
  <si>
    <t>ORD100336</t>
  </si>
  <si>
    <t>ORD100192</t>
  </si>
  <si>
    <t>ORD100710</t>
  </si>
  <si>
    <t>ORD100006</t>
  </si>
  <si>
    <t>ORD100345</t>
  </si>
  <si>
    <t>ORD100387</t>
  </si>
  <si>
    <t>ORD100548</t>
  </si>
  <si>
    <t>ORD100008</t>
  </si>
  <si>
    <t>ORD100419</t>
  </si>
  <si>
    <t>ORD100487</t>
  </si>
  <si>
    <t>ORD100879</t>
  </si>
  <si>
    <t>ORD100392</t>
  </si>
  <si>
    <t>ORD100800</t>
  </si>
  <si>
    <t>ORD100319</t>
  </si>
  <si>
    <t>Karan Sharma</t>
  </si>
  <si>
    <t>ORD100807</t>
  </si>
  <si>
    <t>ORD100524</t>
  </si>
  <si>
    <t>ORD100270</t>
  </si>
  <si>
    <t>ORD100880</t>
  </si>
  <si>
    <t>ORD100986</t>
  </si>
  <si>
    <t>ORD100409</t>
  </si>
  <si>
    <t>ORD100079</t>
  </si>
  <si>
    <t>ORD100578</t>
  </si>
  <si>
    <t>ORD100547</t>
  </si>
  <si>
    <t>ORD100741</t>
  </si>
  <si>
    <t>ORD100446</t>
  </si>
  <si>
    <t>ORD100691</t>
  </si>
  <si>
    <t>ORD100617</t>
  </si>
  <si>
    <t>ORD100367</t>
  </si>
  <si>
    <t>ORD100302</t>
  </si>
  <si>
    <t>ORD100874</t>
  </si>
  <si>
    <t>ORD100508</t>
  </si>
  <si>
    <t>ORD100363</t>
  </si>
  <si>
    <t>ORD100451</t>
  </si>
  <si>
    <t>ORD100576</t>
  </si>
  <si>
    <t>ORD100602</t>
  </si>
  <si>
    <t>ORD100070</t>
  </si>
  <si>
    <t>ORD100961</t>
  </si>
  <si>
    <t>ORD100283</t>
  </si>
  <si>
    <t>ORD100813</t>
  </si>
  <si>
    <t>ORD100559</t>
  </si>
  <si>
    <t>ORD100759</t>
  </si>
  <si>
    <t>ORD100324</t>
  </si>
  <si>
    <t>ORD100629</t>
  </si>
  <si>
    <t>ORD100126</t>
  </si>
  <si>
    <t>ORD100601</t>
  </si>
  <si>
    <t>ORD100306</t>
  </si>
  <si>
    <t>ORD100471</t>
  </si>
  <si>
    <t>ORD100728</t>
  </si>
  <si>
    <t>ORD100757</t>
  </si>
  <si>
    <t>ORD100490</t>
  </si>
  <si>
    <t>ORD100942</t>
  </si>
  <si>
    <t>ORD100505</t>
  </si>
  <si>
    <t>ORD100648</t>
  </si>
  <si>
    <t>ORD100166</t>
  </si>
  <si>
    <t>ORD100230</t>
  </si>
  <si>
    <t>Aman Singh</t>
  </si>
  <si>
    <t>ORD100379</t>
  </si>
  <si>
    <t>ORD100516</t>
  </si>
  <si>
    <t>ORD100981</t>
  </si>
  <si>
    <t>ORD100999</t>
  </si>
  <si>
    <t>ORD100386</t>
  </si>
  <si>
    <t>ORD100100</t>
  </si>
  <si>
    <t>ORD100049</t>
  </si>
  <si>
    <t>ORD100407</t>
  </si>
  <si>
    <t>ORD100498</t>
  </si>
  <si>
    <t>ORD100133</t>
  </si>
  <si>
    <t>Ananya Yadav</t>
  </si>
  <si>
    <t>ORD100457</t>
  </si>
  <si>
    <t>ORD100737</t>
  </si>
  <si>
    <t>ORD100730</t>
  </si>
  <si>
    <t>ORD100468</t>
  </si>
  <si>
    <t>ORD100898</t>
  </si>
  <si>
    <t>ORD100188</t>
  </si>
  <si>
    <t>ORD100632</t>
  </si>
  <si>
    <t>ORD100240</t>
  </si>
  <si>
    <t>ORD100761</t>
  </si>
  <si>
    <t>ORD100112</t>
  </si>
  <si>
    <t>ORD100893</t>
  </si>
  <si>
    <t>ORD100755</t>
  </si>
  <si>
    <t>ORD100932</t>
  </si>
  <si>
    <t>ORD100325</t>
  </si>
  <si>
    <t>ORD100424</t>
  </si>
  <si>
    <t>ORD100083</t>
  </si>
  <si>
    <t>Karan Agarwal</t>
  </si>
  <si>
    <t>ORD100157</t>
  </si>
  <si>
    <t>ORD100410</t>
  </si>
  <si>
    <t>ORD100199</t>
  </si>
  <si>
    <t>ORD100791</t>
  </si>
  <si>
    <t>ORD100625</t>
  </si>
  <si>
    <t>ORD100872</t>
  </si>
  <si>
    <t>ORD100389</t>
  </si>
  <si>
    <t>ORD100182</t>
  </si>
  <si>
    <t>ORD100111</t>
  </si>
  <si>
    <t>ORD100527</t>
  </si>
  <si>
    <t>ORD100377</t>
  </si>
  <si>
    <t>ORD100865</t>
  </si>
  <si>
    <t>ORD100202</t>
  </si>
  <si>
    <t>ORD100731</t>
  </si>
  <si>
    <t>ORD100401</t>
  </si>
  <si>
    <t>ORD100902</t>
  </si>
  <si>
    <t>ORD100713</t>
  </si>
  <si>
    <t>ORD100620</t>
  </si>
  <si>
    <t>ORD100883</t>
  </si>
  <si>
    <t>ORD100977</t>
  </si>
  <si>
    <t>ORD100193</t>
  </si>
  <si>
    <t>ORD100609</t>
  </si>
  <si>
    <t>ORD100768</t>
  </si>
  <si>
    <t>ORD100793</t>
  </si>
  <si>
    <t>ORD100717</t>
  </si>
  <si>
    <t>ORD100155</t>
  </si>
  <si>
    <t>ORD100323</t>
  </si>
  <si>
    <t>ORD100287</t>
  </si>
  <si>
    <t>ORD100135</t>
  </si>
  <si>
    <t>Nisha Verma</t>
  </si>
  <si>
    <t>ORD100740</t>
  </si>
  <si>
    <t>ORD100863</t>
  </si>
  <si>
    <t>ORD100479</t>
  </si>
  <si>
    <t>ORD100491</t>
  </si>
  <si>
    <t>ORD100004</t>
  </si>
  <si>
    <t>ORD100694</t>
  </si>
  <si>
    <t>ORD100383</t>
  </si>
  <si>
    <t>ORD100438</t>
  </si>
  <si>
    <t>ORD100167</t>
  </si>
  <si>
    <t>ORD100778</t>
  </si>
  <si>
    <t>ORD100358</t>
  </si>
  <si>
    <t>ORD100453</t>
  </si>
  <si>
    <t>ORD100370</t>
  </si>
  <si>
    <t>ORD100532</t>
  </si>
  <si>
    <t>ORD100599</t>
  </si>
  <si>
    <t>ORD100107</t>
  </si>
  <si>
    <t>ORD100930</t>
  </si>
  <si>
    <t>ORD100520</t>
  </si>
  <si>
    <t>ORD100251</t>
  </si>
  <si>
    <t>ORD100435</t>
  </si>
  <si>
    <t>ORD100357</t>
  </si>
  <si>
    <t>ORD100132</t>
  </si>
  <si>
    <t>ORD100102</t>
  </si>
  <si>
    <t>ORD100064</t>
  </si>
  <si>
    <t>Vivaan Verma</t>
  </si>
  <si>
    <t>ORD100628</t>
  </si>
  <si>
    <t>ORD100946</t>
  </si>
  <si>
    <t>ORD100340</t>
  </si>
  <si>
    <t>ORD100253</t>
  </si>
  <si>
    <t>ORD100023</t>
  </si>
  <si>
    <t>ORD100794</t>
  </si>
  <si>
    <t>ORD100775</t>
  </si>
  <si>
    <t>ORD100057</t>
  </si>
  <si>
    <t>ORD100043</t>
  </si>
  <si>
    <t>ORD100050</t>
  </si>
  <si>
    <t>ORD100643</t>
  </si>
  <si>
    <t>ORD100589</t>
  </si>
  <si>
    <t>ORD100895</t>
  </si>
  <si>
    <t>ORD100669</t>
  </si>
  <si>
    <t>ORD100959</t>
  </si>
  <si>
    <t>ORD100985</t>
  </si>
  <si>
    <t>ORD100208</t>
  </si>
  <si>
    <t>ORD100304</t>
  </si>
  <si>
    <t>ORD100012</t>
  </si>
  <si>
    <t>ORD100214</t>
  </si>
  <si>
    <t>ORD100641</t>
  </si>
  <si>
    <t>ORD100210</t>
  </si>
  <si>
    <t>ORD100877</t>
  </si>
  <si>
    <t>ORD100016</t>
  </si>
  <si>
    <t>ORD100221</t>
  </si>
  <si>
    <t>ORD100245</t>
  </si>
  <si>
    <t>ORD100244</t>
  </si>
  <si>
    <t>ORD100443</t>
  </si>
  <si>
    <t>ORD100964</t>
  </si>
  <si>
    <t>ORD100005</t>
  </si>
  <si>
    <t>ORD100951</t>
  </si>
  <si>
    <t>ORD100566</t>
  </si>
  <si>
    <t>ORD100144</t>
  </si>
  <si>
    <t>ORD100170</t>
  </si>
  <si>
    <t>ORD100855</t>
  </si>
  <si>
    <t>ORD100241</t>
  </si>
  <si>
    <t>ORD100941</t>
  </si>
  <si>
    <t>ORD100115</t>
  </si>
  <si>
    <t>ORD100183</t>
  </si>
  <si>
    <t>ORD100131</t>
  </si>
  <si>
    <t>ORD100417</t>
  </si>
  <si>
    <t>ORD100136</t>
  </si>
  <si>
    <t>ORD100661</t>
  </si>
  <si>
    <t>ORD100888</t>
  </si>
  <si>
    <t>ORD100158</t>
  </si>
  <si>
    <t>ORD100428</t>
  </si>
  <si>
    <t>ORD100841</t>
  </si>
  <si>
    <t>ORD100802</t>
  </si>
  <si>
    <t>ORD100925</t>
  </si>
  <si>
    <t>ORD100616</t>
  </si>
  <si>
    <t>ORD100038</t>
  </si>
  <si>
    <t>ORD100117</t>
  </si>
  <si>
    <t>ORD100826</t>
  </si>
  <si>
    <t>ORD100327</t>
  </si>
  <si>
    <t>ORD100562</t>
  </si>
  <si>
    <t>ORD100255</t>
  </si>
  <si>
    <t>ORD100456</t>
  </si>
  <si>
    <t>ORD100173</t>
  </si>
  <si>
    <t>ORD100570</t>
  </si>
  <si>
    <t>ORD100162</t>
  </si>
  <si>
    <t>ORD100787</t>
  </si>
  <si>
    <t>ORD100626</t>
  </si>
  <si>
    <t>ORD100248</t>
  </si>
  <si>
    <t>ORD100975</t>
  </si>
  <si>
    <t>ORD100690</t>
  </si>
  <si>
    <t>ORD100885</t>
  </si>
  <si>
    <t>ORD100811</t>
  </si>
  <si>
    <t>ORD100746</t>
  </si>
  <si>
    <t>ORD100955</t>
  </si>
  <si>
    <t>ORD100140</t>
  </si>
  <si>
    <t>ORD100803</t>
  </si>
  <si>
    <t>ORD100718</t>
  </si>
  <si>
    <t>ORD100640</t>
  </si>
  <si>
    <t>ORD100411</t>
  </si>
  <si>
    <t>ORD100784</t>
  </si>
  <si>
    <t>ORD100374</t>
  </si>
  <si>
    <t>ORD100069</t>
  </si>
  <si>
    <t>ORD100675</t>
  </si>
  <si>
    <t>ORD100427</t>
  </si>
  <si>
    <t>ORD100375</t>
  </si>
  <si>
    <t>ORD100263</t>
  </si>
  <si>
    <t>ORD100356</t>
  </si>
  <si>
    <t>ORD100699</t>
  </si>
  <si>
    <t>ORD100542</t>
  </si>
  <si>
    <t>ORD100204</t>
  </si>
  <si>
    <t>ORD100732</t>
  </si>
  <si>
    <t>ORD100280</t>
  </si>
  <si>
    <t>ORD100187</t>
  </si>
  <si>
    <t>ORD100028</t>
  </si>
  <si>
    <t>ORD100099</t>
  </si>
  <si>
    <t>ORD100290</t>
  </si>
  <si>
    <t>ORD100767</t>
  </si>
  <si>
    <t>ORD100015</t>
  </si>
  <si>
    <t>ORD100774</t>
  </si>
  <si>
    <t>ORD100920</t>
  </si>
  <si>
    <t>ORD100583</t>
  </si>
  <si>
    <t>ORD100474</t>
  </si>
  <si>
    <t>ORD100821</t>
  </si>
  <si>
    <t>ORD100195</t>
  </si>
  <si>
    <t>ORD100459</t>
  </si>
  <si>
    <t>ORD100461</t>
  </si>
  <si>
    <t>ORD100891</t>
  </si>
  <si>
    <t>ORD100061</t>
  </si>
  <si>
    <t>ORD100250</t>
  </si>
  <si>
    <t>ORD100634</t>
  </si>
  <si>
    <t>ORD100722</t>
  </si>
  <si>
    <t>ORD100010</t>
  </si>
  <si>
    <t>ORD100766</t>
  </si>
  <si>
    <t>ORD100729</t>
  </si>
  <si>
    <t>ORD100948</t>
  </si>
  <si>
    <t>ORD100090</t>
  </si>
  <si>
    <t>ORD100105</t>
  </si>
  <si>
    <t>ORD100276</t>
  </si>
  <si>
    <t>ORD100299</t>
  </si>
  <si>
    <t>ORD100318</t>
  </si>
  <si>
    <t>ORD100295</t>
  </si>
  <si>
    <t>ORD100724</t>
  </si>
  <si>
    <t>ORD100154</t>
  </si>
  <si>
    <t>ORD100464</t>
  </si>
  <si>
    <t>ORD100886</t>
  </si>
  <si>
    <t>ORD100904</t>
  </si>
  <si>
    <t>ORD100627</t>
  </si>
  <si>
    <t>ORD100404</t>
  </si>
  <si>
    <t>ORD100758</t>
  </si>
  <si>
    <t>ORD100093</t>
  </si>
  <si>
    <t>ORD100229</t>
  </si>
  <si>
    <t>ORD100945</t>
  </si>
  <si>
    <t>ORD100032</t>
  </si>
  <si>
    <t>ORD100819</t>
  </si>
  <si>
    <t>ORD100184</t>
  </si>
  <si>
    <t>ORD100185</t>
  </si>
  <si>
    <t>ORD100231</t>
  </si>
  <si>
    <t>ORD100870</t>
  </si>
  <si>
    <t>ORD100973</t>
  </si>
  <si>
    <t>ORD100267</t>
  </si>
  <si>
    <t>ORD100431</t>
  </si>
  <si>
    <t>ORD100120</t>
  </si>
  <si>
    <t>ORD100103</t>
  </si>
  <si>
    <t>ORD100572</t>
  </si>
  <si>
    <t>ORD100391</t>
  </si>
  <si>
    <t>ORD100693</t>
  </si>
  <si>
    <t>ORD100160</t>
  </si>
  <si>
    <t>ORD100545</t>
  </si>
  <si>
    <t>ORD100489</t>
  </si>
  <si>
    <t>ORD100561</t>
  </si>
  <si>
    <t>ORD100503</t>
  </si>
  <si>
    <t>ORD100828</t>
  </si>
  <si>
    <t>ORD100801</t>
  </si>
  <si>
    <t>ORD100689</t>
  </si>
  <si>
    <t>ORD100866</t>
  </si>
  <si>
    <t>ORD100260</t>
  </si>
  <si>
    <t>ORD100549</t>
  </si>
  <si>
    <t>ORD100818</t>
  </si>
  <si>
    <t>ORD100151</t>
  </si>
  <si>
    <t>ORD100110</t>
  </si>
  <si>
    <t>ORD100473</t>
  </si>
  <si>
    <t>ORD100995</t>
  </si>
  <si>
    <t>ORD100114</t>
  </si>
  <si>
    <t>ORD100261</t>
  </si>
  <si>
    <t>ORD100036</t>
  </si>
  <si>
    <t>ORD100972</t>
  </si>
  <si>
    <t>ORD100264</t>
  </si>
  <si>
    <t>ORD100175</t>
  </si>
  <si>
    <t>ORD100751</t>
  </si>
  <si>
    <t>ORD100727</t>
  </si>
  <si>
    <t>ORD100124</t>
  </si>
  <si>
    <t>ORD100334</t>
  </si>
  <si>
    <t>ORD100450</t>
  </si>
  <si>
    <t>ORD100149</t>
  </si>
  <si>
    <t>ORD100636</t>
  </si>
  <si>
    <t>ORD100413</t>
  </si>
  <si>
    <t>ORD100017</t>
  </si>
  <si>
    <t>ORD100882</t>
  </si>
  <si>
    <t>ORD100448</t>
  </si>
  <si>
    <t>ORD100190</t>
  </si>
  <si>
    <t>ORD100465</t>
  </si>
  <si>
    <t>ORD100990</t>
  </si>
  <si>
    <t>ORD100156</t>
  </si>
  <si>
    <t>ORD100359</t>
  </si>
  <si>
    <t>ORD100223</t>
  </si>
  <si>
    <t>ORD100635</t>
  </si>
  <si>
    <t>ORD100703</t>
  </si>
  <si>
    <t>ORD100320</t>
  </si>
  <si>
    <t>ORD100523</t>
  </si>
  <si>
    <t>ORD100917</t>
  </si>
  <si>
    <t>ORD100744</t>
  </si>
  <si>
    <t>ORD100776</t>
  </si>
  <si>
    <t>ORD100034</t>
  </si>
  <si>
    <t>ORD100845</t>
  </si>
  <si>
    <t>ORD100326</t>
  </si>
  <si>
    <t>ORD100352</t>
  </si>
  <si>
    <t>ORD100899</t>
  </si>
  <si>
    <t>ORD100268</t>
  </si>
  <si>
    <t>ORD100282</t>
  </si>
  <si>
    <t>ORD100040</t>
  </si>
  <si>
    <t>ORD100020</t>
  </si>
  <si>
    <t>ORD100711</t>
  </si>
  <si>
    <t>ORD100068</t>
  </si>
  <si>
    <t>ORD100926</t>
  </si>
  <si>
    <t>ORD100745</t>
  </si>
  <si>
    <t>ORD100950</t>
  </si>
  <si>
    <t>ORD100910</t>
  </si>
  <si>
    <t>ORD100551</t>
  </si>
  <si>
    <t>ORD100502</t>
  </si>
  <si>
    <t>ORD100820</t>
  </si>
  <si>
    <t>ORD100483</t>
  </si>
  <si>
    <t>ORD100288</t>
  </si>
  <si>
    <t>ORD100148</t>
  </si>
  <si>
    <t>ORD100868</t>
  </si>
  <si>
    <t>ORD100613</t>
  </si>
  <si>
    <t>ORD100862</t>
  </si>
  <si>
    <t>ORD100817</t>
  </si>
  <si>
    <t>ORD100529</t>
  </si>
  <si>
    <t>ORD100189</t>
  </si>
  <si>
    <t>ORD100840</t>
  </si>
  <si>
    <t>ORD100269</t>
  </si>
  <si>
    <t>ORD100335</t>
  </si>
  <si>
    <t>ORD100998</t>
  </si>
  <si>
    <t>ORD100594</t>
  </si>
  <si>
    <t>ORD100733</t>
  </si>
  <si>
    <t>ORD100466</t>
  </si>
  <si>
    <t>ORD100876</t>
  </si>
  <si>
    <t>ORD100752</t>
  </si>
  <si>
    <t>ORD100781</t>
  </si>
  <si>
    <t>ORD100080</t>
  </si>
  <si>
    <t>ORD100266</t>
  </si>
  <si>
    <t>ORD100257</t>
  </si>
  <si>
    <t>ORD100082</t>
  </si>
  <si>
    <t>ORD100654</t>
  </si>
  <si>
    <t>ORD100596</t>
  </si>
  <si>
    <t>ORD100550</t>
  </si>
  <si>
    <t>ORD100539</t>
  </si>
  <si>
    <t>ORD100041</t>
  </si>
  <si>
    <t>ORD100517</t>
  </si>
  <si>
    <t>ORD100630</t>
  </si>
  <si>
    <t>ORD100908</t>
  </si>
  <si>
    <t>ORD100770</t>
  </si>
  <si>
    <t>ORD100440</t>
  </si>
  <si>
    <t>ORD100849</t>
  </si>
  <si>
    <t>ORD100139</t>
  </si>
  <si>
    <t>ORD100249</t>
  </si>
  <si>
    <t>ORD100298</t>
  </si>
  <si>
    <t>ORD100348</t>
  </si>
  <si>
    <t>ORD100500</t>
  </si>
  <si>
    <t>ORD100884</t>
  </si>
  <si>
    <t>ORD100422</t>
  </si>
  <si>
    <t>ORD100310</t>
  </si>
  <si>
    <t>ORD100854</t>
  </si>
  <si>
    <t>ORD100867</t>
  </si>
  <si>
    <t>ORD100047</t>
  </si>
  <si>
    <t>ORD100831</t>
  </si>
  <si>
    <t>ORD100051</t>
  </si>
  <si>
    <t>ORD100098</t>
  </si>
  <si>
    <t>ORD100603</t>
  </si>
  <si>
    <t>ORD100513</t>
  </si>
  <si>
    <t>ORD100511</t>
  </si>
  <si>
    <t>ORD100555</t>
  </si>
  <si>
    <t>ORD100697</t>
  </si>
  <si>
    <t>ORD100560</t>
  </si>
  <si>
    <t>ORD100350</t>
  </si>
  <si>
    <t>ORD100178</t>
  </si>
  <si>
    <t>ORD100009</t>
  </si>
  <si>
    <t>ORD100684</t>
  </si>
  <si>
    <t>ORD100814</t>
  </si>
  <si>
    <t>ORD100385</t>
  </si>
  <si>
    <t>ORD100442</t>
  </si>
  <si>
    <t>ORD100463</t>
  </si>
  <si>
    <t>ORD100053</t>
  </si>
  <si>
    <t>ORD100869</t>
  </si>
  <si>
    <t>ORD100001</t>
  </si>
  <si>
    <t>ORD100832</t>
  </si>
  <si>
    <t>ORD100224</t>
  </si>
  <si>
    <t>ORD100227</t>
  </si>
  <si>
    <t>ORD100271</t>
  </si>
  <si>
    <t>ORD100586</t>
  </si>
  <si>
    <t>ORD100816</t>
  </si>
  <si>
    <t>ORD100536</t>
  </si>
  <si>
    <t>ORD100810</t>
  </si>
  <si>
    <t>ORD100668</t>
  </si>
  <si>
    <t>ORD100725</t>
  </si>
  <si>
    <t>ORD100997</t>
  </si>
  <si>
    <t>ORD100935</t>
  </si>
  <si>
    <t>ORD100782</t>
  </si>
  <si>
    <t>ORD100329</t>
  </si>
  <si>
    <t>ORD100544</t>
  </si>
  <si>
    <t>ORD100228</t>
  </si>
  <si>
    <t>ORD100593</t>
  </si>
  <si>
    <t>ORD100272</t>
  </si>
  <si>
    <t>Sneha Kumawat</t>
  </si>
  <si>
    <t>ORD100743</t>
  </si>
  <si>
    <t>ORD100657</t>
  </si>
  <si>
    <t>ORD100748</t>
  </si>
  <si>
    <t>ORD100956</t>
  </si>
  <si>
    <t>ORD100660</t>
  </si>
  <si>
    <t>ORD100695</t>
  </si>
  <si>
    <t>ORD100121</t>
  </si>
  <si>
    <t>ORD100378</t>
  </si>
  <si>
    <t>ORD100434</t>
  </si>
  <si>
    <t>ORD100315</t>
  </si>
  <si>
    <t>ORD100735</t>
  </si>
  <si>
    <t>ORD100362</t>
  </si>
  <si>
    <t>ORD100278</t>
  </si>
  <si>
    <t>ORD100265</t>
  </si>
  <si>
    <t>ORD100441</t>
  </si>
  <si>
    <t>ORD100399</t>
  </si>
  <si>
    <t>ORD100716</t>
  </si>
  <si>
    <t>ORD100418</t>
  </si>
  <si>
    <t>ORD100376</t>
  </si>
  <si>
    <t>ORD100480</t>
  </si>
  <si>
    <t>ORD100277</t>
  </si>
  <si>
    <t>ORD100390</t>
  </si>
  <si>
    <t>ORD100243</t>
  </si>
  <si>
    <t>Column</t>
  </si>
  <si>
    <t>Meaning</t>
  </si>
  <si>
    <t>Unique order number</t>
  </si>
  <si>
    <t>Order date</t>
  </si>
  <si>
    <t>Customer name</t>
  </si>
  <si>
    <t>Main product category</t>
  </si>
  <si>
    <t>Product sub-category</t>
  </si>
  <si>
    <t>Product name</t>
  </si>
  <si>
    <t>Number of units ordered</t>
  </si>
  <si>
    <t>Final sales amount after discount</t>
  </si>
  <si>
    <t>Discount percentage</t>
  </si>
  <si>
    <t>Profit earned on order</t>
  </si>
  <si>
    <t>Payment method</t>
  </si>
  <si>
    <t>Customer state</t>
  </si>
  <si>
    <t>Customer city</t>
  </si>
  <si>
    <t>Sales region</t>
  </si>
  <si>
    <t>New or returning customer</t>
  </si>
  <si>
    <t>Total Sales</t>
  </si>
  <si>
    <t>Total Profit</t>
  </si>
  <si>
    <t>Total Orders</t>
  </si>
  <si>
    <t>Total Quantity Sold</t>
  </si>
  <si>
    <t>Average Order Value</t>
  </si>
  <si>
    <t>Profit Margin</t>
  </si>
  <si>
    <t>Average Discount</t>
  </si>
  <si>
    <t>TotaSales</t>
  </si>
  <si>
    <t>Row Labels</t>
  </si>
  <si>
    <t>Grand Total</t>
  </si>
  <si>
    <t>Sum of Sales</t>
  </si>
  <si>
    <t>Sum of Profit</t>
  </si>
  <si>
    <t>Sales by Category</t>
  </si>
  <si>
    <t>Sales by Region</t>
  </si>
  <si>
    <t>Monthly Sales</t>
  </si>
  <si>
    <t>Profit by Category</t>
  </si>
  <si>
    <t>Top 10 Products</t>
  </si>
  <si>
    <t>Sales by City</t>
  </si>
  <si>
    <t>Jan</t>
  </si>
  <si>
    <t>Feb</t>
  </si>
  <si>
    <t>Mar</t>
  </si>
  <si>
    <t>Apr</t>
  </si>
  <si>
    <t>May</t>
  </si>
  <si>
    <t>Jun</t>
  </si>
  <si>
    <t>Jul</t>
  </si>
  <si>
    <t>Aug</t>
  </si>
  <si>
    <t>Sep</t>
  </si>
  <si>
    <t>Oct</t>
  </si>
  <si>
    <t>Nov</t>
  </si>
  <si>
    <t>Dec</t>
  </si>
  <si>
    <t>Select Category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</si>
</sst>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yyyy/mm/dd;@"/>
    <numFmt numFmtId="165" formatCode="0.0%"/>
    <numFmt numFmtId="168" formatCode="_ * #,##0_ ;_ * \-#,##0_ ;_ * &quot;-&quot;??_ ;_ @_ "/>
  </numFmts>
  <fonts count="8" x14ac:knownFonts="1">
    <font>
      <sz val="11"/>
      <color theme="1"/>
      <name val="Calibri"/>
      <family val="2"/>
      <scheme val="minor"/>
    </font>
    <font>
      <b/>
      <sz val="11"/>
      <name val="Calibri"/>
    </font>
    <font>
      <sz val="11"/>
      <color theme="1"/>
      <name val="Calibri"/>
      <family val="2"/>
      <scheme val="minor"/>
    </font>
    <font>
      <b/>
      <sz val="14"/>
      <color theme="1"/>
      <name val="Calibri"/>
      <family val="2"/>
      <scheme val="minor"/>
    </font>
    <font>
      <sz val="14"/>
      <color theme="1"/>
      <name val="Calibri"/>
      <family val="2"/>
      <scheme val="minor"/>
    </font>
    <font>
      <b/>
      <sz val="24"/>
      <color theme="1"/>
      <name val="Calibri"/>
      <family val="2"/>
      <scheme val="minor"/>
    </font>
    <font>
      <sz val="16"/>
      <color theme="1" tint="4.9989318521683403E-2"/>
      <name val="Calibri"/>
      <family val="2"/>
      <scheme val="minor"/>
    </font>
    <font>
      <b/>
      <sz val="20"/>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3"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49">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4" fontId="0" fillId="0" borderId="0" xfId="0" applyNumberFormat="1"/>
    <xf numFmtId="10" fontId="0" fillId="0" borderId="0" xfId="0" applyNumberFormat="1"/>
    <xf numFmtId="1" fontId="0" fillId="0" borderId="0" xfId="0" applyNumberFormat="1"/>
    <xf numFmtId="0" fontId="1" fillId="2" borderId="1" xfId="0" applyFont="1" applyFill="1" applyBorder="1" applyAlignment="1">
      <alignment horizontal="center" vertical="top"/>
    </xf>
    <xf numFmtId="164"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2" fontId="1" fillId="2" borderId="1" xfId="0" applyNumberFormat="1" applyFont="1" applyFill="1" applyBorder="1" applyAlignment="1">
      <alignment horizontal="center" vertical="top"/>
    </xf>
    <xf numFmtId="10" fontId="1" fillId="2" borderId="1" xfId="0" applyNumberFormat="1" applyFont="1" applyFill="1" applyBorder="1" applyAlignment="1">
      <alignment horizontal="center" vertical="top"/>
    </xf>
    <xf numFmtId="4" fontId="1" fillId="2" borderId="1" xfId="0" applyNumberFormat="1" applyFont="1" applyFill="1" applyBorder="1" applyAlignment="1">
      <alignment horizontal="center" vertical="top"/>
    </xf>
    <xf numFmtId="0" fontId="0" fillId="0" borderId="0" xfId="0" applyAlignment="1">
      <alignment vertical="center" wrapText="1"/>
    </xf>
    <xf numFmtId="0" fontId="3" fillId="3" borderId="1" xfId="0" applyFont="1" applyFill="1" applyBorder="1" applyAlignment="1">
      <alignment vertical="center" wrapText="1"/>
    </xf>
    <xf numFmtId="10" fontId="3" fillId="3" borderId="1" xfId="0" applyNumberFormat="1" applyFont="1" applyFill="1" applyBorder="1" applyAlignment="1">
      <alignment vertical="center" wrapText="1"/>
    </xf>
    <xf numFmtId="2" fontId="4" fillId="0" borderId="1" xfId="0" applyNumberFormat="1" applyFont="1" applyBorder="1"/>
    <xf numFmtId="4" fontId="4" fillId="0" borderId="1" xfId="0" applyNumberFormat="1" applyFont="1" applyBorder="1" applyAlignment="1">
      <alignment vertical="center" wrapText="1"/>
    </xf>
    <xf numFmtId="0" fontId="4" fillId="0" borderId="1" xfId="0" applyFont="1" applyBorder="1"/>
    <xf numFmtId="1" fontId="4" fillId="0" borderId="1" xfId="0" applyNumberFormat="1" applyFont="1" applyBorder="1"/>
    <xf numFmtId="10" fontId="4" fillId="0" borderId="1" xfId="0" applyNumberFormat="1" applyFont="1" applyBorder="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2" borderId="0" xfId="0" applyFill="1"/>
    <xf numFmtId="0" fontId="0" fillId="4" borderId="3" xfId="0" applyFill="1" applyBorder="1" applyAlignment="1">
      <alignment horizontal="center" vertical="center"/>
    </xf>
    <xf numFmtId="0" fontId="0" fillId="4" borderId="5"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0" fontId="0" fillId="4" borderId="8" xfId="0" applyFill="1" applyBorder="1" applyAlignment="1">
      <alignment horizontal="center" vertical="center"/>
    </xf>
    <xf numFmtId="0" fontId="0" fillId="0" borderId="0" xfId="0" applyAlignment="1">
      <alignment horizontal="center" vertical="center"/>
    </xf>
    <xf numFmtId="3" fontId="5" fillId="4" borderId="7" xfId="0" applyNumberFormat="1" applyFont="1" applyFill="1" applyBorder="1" applyAlignment="1">
      <alignment horizontal="center" vertical="center"/>
    </xf>
    <xf numFmtId="3" fontId="5" fillId="4" borderId="8" xfId="0" applyNumberFormat="1" applyFont="1" applyFill="1" applyBorder="1" applyAlignment="1">
      <alignment horizontal="center" vertical="center"/>
    </xf>
    <xf numFmtId="165" fontId="5" fillId="4" borderId="9" xfId="1" applyNumberFormat="1"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0" fillId="4" borderId="5" xfId="0" applyFill="1" applyBorder="1"/>
    <xf numFmtId="0" fontId="0" fillId="4" borderId="0" xfId="0" applyFill="1" applyBorder="1"/>
    <xf numFmtId="0" fontId="0" fillId="4" borderId="6" xfId="0" applyFill="1" applyBorder="1"/>
    <xf numFmtId="0" fontId="0" fillId="4" borderId="7" xfId="0" applyFill="1" applyBorder="1"/>
    <xf numFmtId="168" fontId="7" fillId="4" borderId="8" xfId="2" applyNumberFormat="1" applyFont="1" applyFill="1" applyBorder="1" applyAlignment="1">
      <alignment vertical="center"/>
    </xf>
    <xf numFmtId="168" fontId="7" fillId="4" borderId="8" xfId="2" applyNumberFormat="1" applyFont="1" applyFill="1" applyBorder="1" applyAlignment="1">
      <alignment vertical="center"/>
    </xf>
    <xf numFmtId="168" fontId="7" fillId="4" borderId="9" xfId="2" applyNumberFormat="1" applyFont="1" applyFill="1" applyBorder="1" applyAlignment="1">
      <alignment vertical="center"/>
    </xf>
    <xf numFmtId="0" fontId="4" fillId="0" borderId="0" xfId="0" applyFont="1" applyAlignment="1">
      <alignment horizontal="center"/>
    </xf>
    <xf numFmtId="0" fontId="0" fillId="0" borderId="0" xfId="0" applyAlignment="1">
      <alignment horizontal="center"/>
    </xf>
  </cellXfs>
  <cellStyles count="3">
    <cellStyle name="Comma" xfId="2" builtinId="3"/>
    <cellStyle name="Normal" xfId="0" builtinId="0"/>
    <cellStyle name="Percent" xfId="1" builtinId="5"/>
  </cellStyles>
  <dxfs count="46">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s>
  <tableStyles count="0" defaultTableStyle="TableStyleMedium9"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pivot_table!$H$3</c:f>
              <c:strCache>
                <c:ptCount val="1"/>
                <c:pt idx="0">
                  <c:v>Total</c:v>
                </c:pt>
              </c:strCache>
            </c:strRef>
          </c:tx>
          <c:spPr>
            <a:ln w="28575" cap="rnd">
              <a:solidFill>
                <a:schemeClr val="accent1"/>
              </a:solidFill>
              <a:round/>
            </a:ln>
            <a:effectLst/>
          </c:spPr>
          <c:marker>
            <c:symbol val="none"/>
          </c:marker>
          <c:cat>
            <c:strRef>
              <c:f>pivot_table!$G$4:$G$16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pivot_table!$H$4:$H$16</c:f>
              <c:numCache>
                <c:formatCode>0.00</c:formatCode>
                <c:ptCount val="12"/>
                <c:pt idx="0">
                  <c:v>996608.5</c:v>
                </c:pt>
                <c:pt idx="1">
                  <c:v>917585</c:v>
                </c:pt>
                <c:pt idx="2">
                  <c:v>1067175</c:v>
                </c:pt>
                <c:pt idx="3">
                  <c:v>1077362.5</c:v>
                </c:pt>
                <c:pt idx="4">
                  <c:v>1151252</c:v>
                </c:pt>
                <c:pt idx="5">
                  <c:v>898385.5</c:v>
                </c:pt>
                <c:pt idx="6">
                  <c:v>1160231</c:v>
                </c:pt>
                <c:pt idx="7">
                  <c:v>1745306</c:v>
                </c:pt>
                <c:pt idx="8">
                  <c:v>943822.5</c:v>
                </c:pt>
                <c:pt idx="9">
                  <c:v>1194788.5</c:v>
                </c:pt>
                <c:pt idx="10">
                  <c:v>1889562</c:v>
                </c:pt>
                <c:pt idx="11">
                  <c:v>667589</c:v>
                </c:pt>
              </c:numCache>
            </c:numRef>
          </c:val>
          <c:smooth val="0"/>
          <c:extLst>
            <c:ext xmlns:c16="http://schemas.microsoft.com/office/drawing/2014/chart" uri="{C3380CC4-5D6E-409C-BE32-E72D297353CC}">
              <c16:uniqueId val="{00000000-86A1-4C71-86A0-B5F39D60DA5D}"/>
            </c:ext>
          </c:extLst>
        </c:ser>
        <c:dLbls>
          <c:showLegendKey val="0"/>
          <c:showVal val="0"/>
          <c:showCatName val="0"/>
          <c:showSerName val="0"/>
          <c:showPercent val="0"/>
          <c:showBubbleSize val="0"/>
        </c:dLbls>
        <c:smooth val="0"/>
        <c:axId val="1518080175"/>
        <c:axId val="1401182255"/>
      </c:lineChart>
      <c:catAx>
        <c:axId val="151808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82255"/>
        <c:crosses val="autoZero"/>
        <c:auto val="1"/>
        <c:lblAlgn val="ctr"/>
        <c:lblOffset val="100"/>
        <c:noMultiLvlLbl val="0"/>
      </c:catAx>
      <c:valAx>
        <c:axId val="1401182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08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Sales Of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04-4548-B731-ECA068D16A6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04-4548-B731-ECA068D16A6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04-4548-B731-ECA068D16A6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804-4548-B731-ECA068D16A6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804-4548-B731-ECA068D16A6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804-4548-B731-ECA068D16A6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804-4548-B731-ECA068D16A6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pivot_table!$A$4:$A$11</c:f>
              <c:strCache>
                <c:ptCount val="7"/>
                <c:pt idx="0">
                  <c:v>Beauty</c:v>
                </c:pt>
                <c:pt idx="1">
                  <c:v>Books</c:v>
                </c:pt>
                <c:pt idx="2">
                  <c:v>Electronics</c:v>
                </c:pt>
                <c:pt idx="3">
                  <c:v>Fashion</c:v>
                </c:pt>
                <c:pt idx="4">
                  <c:v>Furniture</c:v>
                </c:pt>
                <c:pt idx="5">
                  <c:v>Home &amp; Kitchen</c:v>
                </c:pt>
                <c:pt idx="6">
                  <c:v>Sports</c:v>
                </c:pt>
              </c:strCache>
            </c:strRef>
          </c:cat>
          <c:val>
            <c:numRef>
              <c:f>pivot_table!$B$4:$B$11</c:f>
              <c:numCache>
                <c:formatCode>0.00</c:formatCode>
                <c:ptCount val="7"/>
                <c:pt idx="0">
                  <c:v>291279.5</c:v>
                </c:pt>
                <c:pt idx="1">
                  <c:v>160631</c:v>
                </c:pt>
                <c:pt idx="2">
                  <c:v>5893972</c:v>
                </c:pt>
                <c:pt idx="3">
                  <c:v>501842</c:v>
                </c:pt>
                <c:pt idx="4">
                  <c:v>5229830</c:v>
                </c:pt>
                <c:pt idx="5">
                  <c:v>1244024</c:v>
                </c:pt>
                <c:pt idx="6">
                  <c:v>388089</c:v>
                </c:pt>
              </c:numCache>
            </c:numRef>
          </c:val>
          <c:extLst>
            <c:ext xmlns:c16="http://schemas.microsoft.com/office/drawing/2014/chart" uri="{C3380CC4-5D6E-409C-BE32-E72D297353CC}">
              <c16:uniqueId val="{0000000E-D804-4548-B731-ECA068D16A6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[E_Commerce_Sales_Analytics_1000_Rows.xlsx]pivot_table!PivotTable7</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By Region</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33-4F0B-9292-66CE232EDA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33-4F0B-9292-66CE232EDA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33-4F0B-9292-66CE232EDA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33-4F0B-9292-66CE232EDA0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pivot_table!$D$4:$D$8</c:f>
              <c:strCache>
                <c:ptCount val="4"/>
                <c:pt idx="0">
                  <c:v>East</c:v>
                </c:pt>
                <c:pt idx="1">
                  <c:v>North</c:v>
                </c:pt>
                <c:pt idx="2">
                  <c:v>South</c:v>
                </c:pt>
                <c:pt idx="3">
                  <c:v>West</c:v>
                </c:pt>
              </c:strCache>
            </c:strRef>
          </c:cat>
          <c:val>
            <c:numRef>
              <c:f>pivot_table!$E$4:$E$8</c:f>
              <c:numCache>
                <c:formatCode>0.00</c:formatCode>
                <c:ptCount val="4"/>
                <c:pt idx="0">
                  <c:v>1840733</c:v>
                </c:pt>
                <c:pt idx="1">
                  <c:v>3596598.5</c:v>
                </c:pt>
                <c:pt idx="2">
                  <c:v>2767523.5</c:v>
                </c:pt>
                <c:pt idx="3">
                  <c:v>5504812.5</c:v>
                </c:pt>
              </c:numCache>
            </c:numRef>
          </c:val>
          <c:extLst>
            <c:ext xmlns:c16="http://schemas.microsoft.com/office/drawing/2014/chart" uri="{C3380CC4-5D6E-409C-BE32-E72D297353CC}">
              <c16:uniqueId val="{00000008-5033-4F0B-9292-66CE232EDA0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pivot_table!$K$3</c:f>
              <c:strCache>
                <c:ptCount val="1"/>
                <c:pt idx="0">
                  <c:v>Total</c:v>
                </c:pt>
              </c:strCache>
            </c:strRef>
          </c:tx>
          <c:spPr>
            <a:solidFill>
              <a:schemeClr val="accent1"/>
            </a:solidFill>
            <a:ln>
              <a:noFill/>
            </a:ln>
            <a:effectLst/>
          </c:spPr>
          <c:invertIfNegative val="0"/>
          <c:cat>
            <c:strRef>
              <c:f>pivot_table!$J$4:$J$11</c:f>
              <c:strCache>
                <c:ptCount val="7"/>
                <c:pt idx="0">
                  <c:v>Beauty</c:v>
                </c:pt>
                <c:pt idx="1">
                  <c:v>Books</c:v>
                </c:pt>
                <c:pt idx="2">
                  <c:v>Electronics</c:v>
                </c:pt>
                <c:pt idx="3">
                  <c:v>Fashion</c:v>
                </c:pt>
                <c:pt idx="4">
                  <c:v>Furniture</c:v>
                </c:pt>
                <c:pt idx="5">
                  <c:v>Home &amp; Kitchen</c:v>
                </c:pt>
                <c:pt idx="6">
                  <c:v>Sports</c:v>
                </c:pt>
              </c:strCache>
            </c:strRef>
          </c:cat>
          <c:val>
            <c:numRef>
              <c:f>pivot_table!$K$4:$K$11</c:f>
              <c:numCache>
                <c:formatCode>#,##0.00</c:formatCode>
                <c:ptCount val="7"/>
                <c:pt idx="0">
                  <c:v>51179.63</c:v>
                </c:pt>
                <c:pt idx="1">
                  <c:v>29914.960000000006</c:v>
                </c:pt>
                <c:pt idx="2">
                  <c:v>717342.99999999977</c:v>
                </c:pt>
                <c:pt idx="3">
                  <c:v>86691.439999999959</c:v>
                </c:pt>
                <c:pt idx="4">
                  <c:v>549894.34000000008</c:v>
                </c:pt>
                <c:pt idx="5">
                  <c:v>172144.25999999998</c:v>
                </c:pt>
                <c:pt idx="6">
                  <c:v>59779.189999999973</c:v>
                </c:pt>
              </c:numCache>
            </c:numRef>
          </c:val>
          <c:extLst>
            <c:ext xmlns:c16="http://schemas.microsoft.com/office/drawing/2014/chart" uri="{C3380CC4-5D6E-409C-BE32-E72D297353CC}">
              <c16:uniqueId val="{00000000-BE6C-4DAD-820C-01296B98C56F}"/>
            </c:ext>
          </c:extLst>
        </c:ser>
        <c:dLbls>
          <c:showLegendKey val="0"/>
          <c:showVal val="0"/>
          <c:showCatName val="0"/>
          <c:showSerName val="0"/>
          <c:showPercent val="0"/>
          <c:showBubbleSize val="0"/>
        </c:dLbls>
        <c:gapWidth val="219"/>
        <c:overlap val="-27"/>
        <c:axId val="1537093487"/>
        <c:axId val="1401242735"/>
      </c:barChart>
      <c:catAx>
        <c:axId val="1537093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42735"/>
        <c:crosses val="autoZero"/>
        <c:auto val="1"/>
        <c:lblAlgn val="ctr"/>
        <c:lblOffset val="100"/>
        <c:noMultiLvlLbl val="0"/>
      </c:catAx>
      <c:valAx>
        <c:axId val="1401242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9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[E_Commerce_Sales_Analytics_1000_Rows.xlsx]pivot_table!PivotTable9</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pivot_table!$M$4:$M$14</c:f>
              <c:strCache>
                <c:ptCount val="10"/>
                <c:pt idx="0">
                  <c:v>Tablet</c:v>
                </c:pt>
                <c:pt idx="1">
                  <c:v>Sofa</c:v>
                </c:pt>
                <c:pt idx="2">
                  <c:v>Smartphone</c:v>
                </c:pt>
                <c:pt idx="3">
                  <c:v>Smart Watch</c:v>
                </c:pt>
                <c:pt idx="4">
                  <c:v>Office Chair</c:v>
                </c:pt>
                <c:pt idx="5">
                  <c:v>Laptop</c:v>
                </c:pt>
                <c:pt idx="6">
                  <c:v>Dining Table</c:v>
                </c:pt>
                <c:pt idx="7">
                  <c:v>Bookshelf</c:v>
                </c:pt>
                <c:pt idx="8">
                  <c:v>Bed</c:v>
                </c:pt>
                <c:pt idx="9">
                  <c:v>Air Fryer</c:v>
                </c:pt>
              </c:strCache>
            </c:strRef>
          </c:cat>
          <c:val>
            <c:numRef>
              <c:f>pivot_table!$N$4:$N$14</c:f>
              <c:numCache>
                <c:formatCode>0.00</c:formatCode>
                <c:ptCount val="10"/>
                <c:pt idx="0">
                  <c:v>950040</c:v>
                </c:pt>
                <c:pt idx="1">
                  <c:v>1000720</c:v>
                </c:pt>
                <c:pt idx="2">
                  <c:v>1406000</c:v>
                </c:pt>
                <c:pt idx="3">
                  <c:v>279500</c:v>
                </c:pt>
                <c:pt idx="4">
                  <c:v>536025</c:v>
                </c:pt>
                <c:pt idx="5">
                  <c:v>2845150</c:v>
                </c:pt>
                <c:pt idx="6">
                  <c:v>1677500</c:v>
                </c:pt>
                <c:pt idx="7">
                  <c:v>319950</c:v>
                </c:pt>
                <c:pt idx="8">
                  <c:v>1452600</c:v>
                </c:pt>
                <c:pt idx="9">
                  <c:v>418405</c:v>
                </c:pt>
              </c:numCache>
            </c:numRef>
          </c:val>
          <c:extLst>
            <c:ext xmlns:c16="http://schemas.microsoft.com/office/drawing/2014/chart" uri="{C3380CC4-5D6E-409C-BE32-E72D297353CC}">
              <c16:uniqueId val="{00000000-DF02-4B97-80F6-95CDED724028}"/>
            </c:ext>
          </c:extLst>
        </c:ser>
        <c:dLbls>
          <c:showLegendKey val="0"/>
          <c:showVal val="0"/>
          <c:showCatName val="0"/>
          <c:showSerName val="0"/>
          <c:showPercent val="0"/>
          <c:showBubbleSize val="0"/>
        </c:dLbls>
        <c:gapWidth val="182"/>
        <c:axId val="30733359"/>
        <c:axId val="1401249455"/>
      </c:barChart>
      <c:catAx>
        <c:axId val="30733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49455"/>
        <c:crosses val="autoZero"/>
        <c:auto val="1"/>
        <c:lblAlgn val="ctr"/>
        <c:lblOffset val="100"/>
        <c:noMultiLvlLbl val="0"/>
      </c:catAx>
      <c:valAx>
        <c:axId val="14012494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[E_Commerce_Sales_Analytics_1000_Rows.xlsx]pivot_table!PivotTable6</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Cities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pivot_table!$Q$3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pivot_table!$P$4:$P$14</c:f>
              <c:strCache>
                <c:ptCount val="10"/>
                <c:pt idx="0">
                  <c:v>Patna</c:v>
                </c:pt>
                <c:pt idx="1">
                  <c:v>New Delhi</c:v>
                </c:pt>
                <c:pt idx="2">
                  <c:v>Lucknow</c:v>
                </c:pt>
                <c:pt idx="3">
                  <c:v>Kota</c:v>
                </c:pt>
                <c:pt idx="4">
                  <c:v>Kochi</c:v>
                </c:pt>
                <c:pt idx="5">
                  <c:v>Jodhpur</c:v>
                </c:pt>
                <c:pt idx="6">
                  <c:v>Jaipur</c:v>
                </c:pt>
                <c:pt idx="7">
                  <c:v>Hyderabad</c:v>
                </c:pt>
                <c:pt idx="8">
                  <c:v>Gurugram</c:v>
                </c:pt>
                <c:pt idx="9">
                  <c:v>Amritsar</c:v>
                </c:pt>
              </c:strCache>
            </c:strRef>
          </c:cat>
          <c:val>
            <c:numRef>
              <c:f>pivot_table!$Q$4:$Q$14</c:f>
              <c:numCache>
                <c:formatCode>0.00</c:formatCode>
                <c:ptCount val="10"/>
                <c:pt idx="0">
                  <c:v>762066</c:v>
                </c:pt>
                <c:pt idx="1">
                  <c:v>739509.5</c:v>
                </c:pt>
                <c:pt idx="2">
                  <c:v>732440.5</c:v>
                </c:pt>
                <c:pt idx="3">
                  <c:v>698064.5</c:v>
                </c:pt>
                <c:pt idx="4">
                  <c:v>794065.5</c:v>
                </c:pt>
                <c:pt idx="5">
                  <c:v>823961</c:v>
                </c:pt>
                <c:pt idx="6">
                  <c:v>747247</c:v>
                </c:pt>
                <c:pt idx="7">
                  <c:v>892272.5</c:v>
                </c:pt>
                <c:pt idx="8">
                  <c:v>907848</c:v>
                </c:pt>
                <c:pt idx="9">
                  <c:v>717267.5</c:v>
                </c:pt>
              </c:numCache>
            </c:numRef>
          </c:val>
          <c:extLst>
            <c:ext xmlns:c16="http://schemas.microsoft.com/office/drawing/2014/chart" uri="{C3380CC4-5D6E-409C-BE32-E72D297353CC}">
              <c16:uniqueId val="{00000000-DFCD-42C8-99D9-C82C7F58B7EB}"/>
            </c:ext>
          </c:extLst>
        </c:ser>
        <c:dLbls>
          <c:dLblPos val="outEnd"/>
          <c:showLegendKey val="0"/>
          <c:showVal val="1"/>
          <c:showCatName val="0"/>
          <c:showSerName val="0"/>
          <c:showPercent val="0"/>
          <c:showBubbleSize val="0"/>
        </c:dLbls>
        <c:gapWidth val="100"/>
        <c:overlap val="-24"/>
        <c:axId val="30588127"/>
        <c:axId val="1401218255"/>
      </c:barChart>
      <c:catAx>
        <c:axId val="30588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18255"/>
        <c:crosses val="autoZero"/>
        <c:auto val="1"/>
        <c:lblAlgn val="ctr"/>
        <c:lblOffset val="100"/>
        <c:noMultiLvlLbl val="0"/>
      </c:catAx>
      <c:valAx>
        <c:axId val="1401218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22860</xdr:rowOff>
    </xdr:from>
    <xdr:to>
      <xdr:col>6</xdr:col>
      <xdr:colOff>7620</xdr:colOff>
      <xdr:row>18</xdr:row>
      <xdr:rowOff>22860</xdr:rowOff>
    </xdr:to>
    <xdr:graphicFrame macro="">
      <xdr:nvGraphicFramePr>
        <xdr:cNvPr id="2" name="Chart 1">
          <a:extLst>
            <a:ext uri="{FF2B5EF4-FFF2-40B4-BE49-F238E27FC236}">
              <a16:creationId xmlns:a16="http://schemas.microsoft.com/office/drawing/2014/main" id="{48DCE61E-31E8-4E35-AECC-1958E3E49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xdr:row>
      <xdr:rowOff>38100</xdr:rowOff>
    </xdr:from>
    <xdr:to>
      <xdr:col>13</xdr:col>
      <xdr:colOff>603419</xdr:colOff>
      <xdr:row>6</xdr:row>
      <xdr:rowOff>137460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A6842E5-059B-4B8E-ADA5-F6E95C2696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52029" y="766482"/>
              <a:ext cx="6755449" cy="637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6</xdr:row>
      <xdr:rowOff>160020</xdr:rowOff>
    </xdr:from>
    <xdr:to>
      <xdr:col>13</xdr:col>
      <xdr:colOff>603420</xdr:colOff>
      <xdr:row>21</xdr:row>
      <xdr:rowOff>152820</xdr:rowOff>
    </xdr:to>
    <xdr:graphicFrame macro="">
      <xdr:nvGraphicFramePr>
        <xdr:cNvPr id="4" name="Chart 3">
          <a:extLst>
            <a:ext uri="{FF2B5EF4-FFF2-40B4-BE49-F238E27FC236}">
              <a16:creationId xmlns:a16="http://schemas.microsoft.com/office/drawing/2014/main" id="{FDAE7B8F-4D7A-4471-AECF-AAE973B55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22</xdr:row>
      <xdr:rowOff>45720</xdr:rowOff>
    </xdr:from>
    <xdr:to>
      <xdr:col>14</xdr:col>
      <xdr:colOff>7620</xdr:colOff>
      <xdr:row>37</xdr:row>
      <xdr:rowOff>45720</xdr:rowOff>
    </xdr:to>
    <xdr:graphicFrame macro="">
      <xdr:nvGraphicFramePr>
        <xdr:cNvPr id="5" name="Chart 4">
          <a:extLst>
            <a:ext uri="{FF2B5EF4-FFF2-40B4-BE49-F238E27FC236}">
              <a16:creationId xmlns:a16="http://schemas.microsoft.com/office/drawing/2014/main" id="{B779D2E6-AF32-459D-BDC2-B3ABCAA44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350520</xdr:colOff>
      <xdr:row>18</xdr:row>
      <xdr:rowOff>60960</xdr:rowOff>
    </xdr:from>
    <xdr:to>
      <xdr:col>6</xdr:col>
      <xdr:colOff>7620</xdr:colOff>
      <xdr:row>37</xdr:row>
      <xdr:rowOff>29548</xdr:rowOff>
    </xdr:to>
    <xdr:graphicFrame macro="">
      <xdr:nvGraphicFramePr>
        <xdr:cNvPr id="6" name="Chart 5">
          <a:extLst>
            <a:ext uri="{FF2B5EF4-FFF2-40B4-BE49-F238E27FC236}">
              <a16:creationId xmlns:a16="http://schemas.microsoft.com/office/drawing/2014/main" id="{8495A9E3-8AA7-4B07-9462-C9E405A80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78441</xdr:colOff>
      <xdr:row>0</xdr:row>
      <xdr:rowOff>56027</xdr:rowOff>
    </xdr:from>
    <xdr:to>
      <xdr:col>26</xdr:col>
      <xdr:colOff>305029</xdr:colOff>
      <xdr:row>18</xdr:row>
      <xdr:rowOff>145676</xdr:rowOff>
    </xdr:to>
    <xdr:graphicFrame macro="">
      <xdr:nvGraphicFramePr>
        <xdr:cNvPr id="7" name="Chart 6">
          <a:extLst>
            <a:ext uri="{FF2B5EF4-FFF2-40B4-BE49-F238E27FC236}">
              <a16:creationId xmlns:a16="http://schemas.microsoft.com/office/drawing/2014/main" id="{8E38D8F4-C37E-48EE-8043-B6127E430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78440</xdr:colOff>
      <xdr:row>19</xdr:row>
      <xdr:rowOff>44823</xdr:rowOff>
    </xdr:from>
    <xdr:to>
      <xdr:col>26</xdr:col>
      <xdr:colOff>305028</xdr:colOff>
      <xdr:row>37</xdr:row>
      <xdr:rowOff>44822</xdr:rowOff>
    </xdr:to>
    <xdr:graphicFrame macro="">
      <xdr:nvGraphicFramePr>
        <xdr:cNvPr id="9" name="Chart 8">
          <a:extLst>
            <a:ext uri="{FF2B5EF4-FFF2-40B4-BE49-F238E27FC236}">
              <a16:creationId xmlns:a16="http://schemas.microsoft.com/office/drawing/2014/main" id="{C76B6293-6A9C-4F4D-A944-F4F8CC799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umawat" refreshedDate="46298.668677314818" createdVersion="8" refreshedVersion="8" minRefreshableVersion="3" recordCount="1000" xr:uid="{2CD7467E-8A1F-4214-98D0-D834970E51C4}">
  <cacheSource type="worksheet">
    <worksheetSource ref="A1:O1001" sheet="Raw_Data"/>
  </cacheSource>
  <cacheFields count="16">
    <cacheField name="Order_ID" numFmtId="164">
      <sharedItems/>
    </cacheField>
    <cacheField name="Order_Date" numFmtId="164">
      <sharedItems containsSemiMixedTypes="0" containsNonDate="0" containsDate="1" containsString="0" minDate="2025-01-02T00:00:00" maxDate="2026-01-01T00:00:00" count="338">
        <d v="2025-12-15T00:00:00"/>
        <d v="2025-06-01T00:00:00"/>
        <d v="2025-01-22T00:00:00"/>
        <d v="2025-09-01T00:00:00"/>
        <d v="2025-09-22T00:00:00"/>
        <d v="2025-07-25T00:00:00"/>
        <d v="2025-07-10T00:00:00"/>
        <d v="2025-07-27T00:00:00"/>
        <d v="2025-12-11T00:00:00"/>
        <d v="2025-10-16T00:00:00"/>
        <d v="2025-02-17T00:00:00"/>
        <d v="2025-09-14T00:00:00"/>
        <d v="2025-03-04T00:00:00"/>
        <d v="2025-01-13T00:00:00"/>
        <d v="2025-10-13T00:00:00"/>
        <d v="2025-09-16T00:00:00"/>
        <d v="2025-11-11T00:00:00"/>
        <d v="2025-04-23T00:00:00"/>
        <d v="2025-02-22T00:00:00"/>
        <d v="2025-11-21T00:00:00"/>
        <d v="2025-05-28T00:00:00"/>
        <d v="2025-05-08T00:00:00"/>
        <d v="2025-09-09T00:00:00"/>
        <d v="2025-02-06T00:00:00"/>
        <d v="2025-04-26T00:00:00"/>
        <d v="2025-06-12T00:00:00"/>
        <d v="2025-06-21T00:00:00"/>
        <d v="2025-04-05T00:00:00"/>
        <d v="2025-02-27T00:00:00"/>
        <d v="2025-10-26T00:00:00"/>
        <d v="2025-02-05T00:00:00"/>
        <d v="2025-11-18T00:00:00"/>
        <d v="2025-04-11T00:00:00"/>
        <d v="2025-11-07T00:00:00"/>
        <d v="2025-04-27T00:00:00"/>
        <d v="2025-09-29T00:00:00"/>
        <d v="2025-04-04T00:00:00"/>
        <d v="2025-12-02T00:00:00"/>
        <d v="2025-06-28T00:00:00"/>
        <d v="2025-09-10T00:00:00"/>
        <d v="2025-07-15T00:00:00"/>
        <d v="2025-07-11T00:00:00"/>
        <d v="2025-07-02T00:00:00"/>
        <d v="2025-12-08T00:00:00"/>
        <d v="2025-03-10T00:00:00"/>
        <d v="2025-08-11T00:00:00"/>
        <d v="2025-01-19T00:00:00"/>
        <d v="2025-12-14T00:00:00"/>
        <d v="2025-03-21T00:00:00"/>
        <d v="2025-02-23T00:00:00"/>
        <d v="2025-05-16T00:00:00"/>
        <d v="2025-04-29T00:00:00"/>
        <d v="2025-04-09T00:00:00"/>
        <d v="2025-03-24T00:00:00"/>
        <d v="2025-10-15T00:00:00"/>
        <d v="2025-03-16T00:00:00"/>
        <d v="2025-09-06T00:00:00"/>
        <d v="2025-05-18T00:00:00"/>
        <d v="2025-04-21T00:00:00"/>
        <d v="2025-06-04T00:00:00"/>
        <d v="2025-11-22T00:00:00"/>
        <d v="2025-10-09T00:00:00"/>
        <d v="2025-08-02T00:00:00"/>
        <d v="2025-01-07T00:00:00"/>
        <d v="2025-01-15T00:00:00"/>
        <d v="2025-05-25T00:00:00"/>
        <d v="2025-01-06T00:00:00"/>
        <d v="2025-05-30T00:00:00"/>
        <d v="2025-01-31T00:00:00"/>
        <d v="2025-03-03T00:00:00"/>
        <d v="2025-07-31T00:00:00"/>
        <d v="2025-11-29T00:00:00"/>
        <d v="2025-05-10T00:00:00"/>
        <d v="2025-11-30T00:00:00"/>
        <d v="2025-08-17T00:00:00"/>
        <d v="2025-03-30T00:00:00"/>
        <d v="2025-06-02T00:00:00"/>
        <d v="2025-03-08T00:00:00"/>
        <d v="2025-06-06T00:00:00"/>
        <d v="2025-05-03T00:00:00"/>
        <d v="2025-10-19T00:00:00"/>
        <d v="2025-05-21T00:00:00"/>
        <d v="2025-05-13T00:00:00"/>
        <d v="2025-10-24T00:00:00"/>
        <d v="2025-02-24T00:00:00"/>
        <d v="2025-07-01T00:00:00"/>
        <d v="2025-06-03T00:00:00"/>
        <d v="2025-08-10T00:00:00"/>
        <d v="2025-03-28T00:00:00"/>
        <d v="2025-10-29T00:00:00"/>
        <d v="2025-10-20T00:00:00"/>
        <d v="2025-06-07T00:00:00"/>
        <d v="2025-09-03T00:00:00"/>
        <d v="2025-02-10T00:00:00"/>
        <d v="2025-04-08T00:00:00"/>
        <d v="2025-11-06T00:00:00"/>
        <d v="2025-08-20T00:00:00"/>
        <d v="2025-08-15T00:00:00"/>
        <d v="2025-03-02T00:00:00"/>
        <d v="2025-09-25T00:00:00"/>
        <d v="2025-09-30T00:00:00"/>
        <d v="2025-04-18T00:00:00"/>
        <d v="2025-12-25T00:00:00"/>
        <d v="2025-07-12T00:00:00"/>
        <d v="2025-07-17T00:00:00"/>
        <d v="2025-11-09T00:00:00"/>
        <d v="2025-06-26T00:00:00"/>
        <d v="2025-08-04T00:00:00"/>
        <d v="2025-01-09T00:00:00"/>
        <d v="2025-02-09T00:00:00"/>
        <d v="2025-09-26T00:00:00"/>
        <d v="2025-08-12T00:00:00"/>
        <d v="2025-03-15T00:00:00"/>
        <d v="2025-08-30T00:00:00"/>
        <d v="2025-09-27T00:00:00"/>
        <d v="2025-03-20T00:00:00"/>
        <d v="2025-02-08T00:00:00"/>
        <d v="2025-12-03T00:00:00"/>
        <d v="2025-10-08T00:00:00"/>
        <d v="2025-01-08T00:00:00"/>
        <d v="2025-02-15T00:00:00"/>
        <d v="2025-03-13T00:00:00"/>
        <d v="2025-09-24T00:00:00"/>
        <d v="2025-07-21T00:00:00"/>
        <d v="2025-04-16T00:00:00"/>
        <d v="2025-11-24T00:00:00"/>
        <d v="2025-11-10T00:00:00"/>
        <d v="2025-01-12T00:00:00"/>
        <d v="2025-11-05T00:00:00"/>
        <d v="2025-02-04T00:00:00"/>
        <d v="2025-10-22T00:00:00"/>
        <d v="2025-08-28T00:00:00"/>
        <d v="2025-11-14T00:00:00"/>
        <d v="2025-06-20T00:00:00"/>
        <d v="2025-11-01T00:00:00"/>
        <d v="2025-01-20T00:00:00"/>
        <d v="2025-10-03T00:00:00"/>
        <d v="2025-05-31T00:00:00"/>
        <d v="2025-01-05T00:00:00"/>
        <d v="2025-03-17T00:00:00"/>
        <d v="2025-08-08T00:00:00"/>
        <d v="2025-09-02T00:00:00"/>
        <d v="2025-03-23T00:00:00"/>
        <d v="2025-04-17T00:00:00"/>
        <d v="2025-10-02T00:00:00"/>
        <d v="2025-11-08T00:00:00"/>
        <d v="2025-04-28T00:00:00"/>
        <d v="2025-06-10T00:00:00"/>
        <d v="2025-03-19T00:00:00"/>
        <d v="2025-05-05T00:00:00"/>
        <d v="2025-10-27T00:00:00"/>
        <d v="2025-08-14T00:00:00"/>
        <d v="2025-11-27T00:00:00"/>
        <d v="2025-11-12T00:00:00"/>
        <d v="2025-08-26T00:00:00"/>
        <d v="2025-10-14T00:00:00"/>
        <d v="2025-04-13T00:00:00"/>
        <d v="2025-06-27T00:00:00"/>
        <d v="2025-03-06T00:00:00"/>
        <d v="2025-07-07T00:00:00"/>
        <d v="2025-08-21T00:00:00"/>
        <d v="2025-04-30T00:00:00"/>
        <d v="2025-10-11T00:00:00"/>
        <d v="2025-01-28T00:00:00"/>
        <d v="2025-09-13T00:00:00"/>
        <d v="2025-06-18T00:00:00"/>
        <d v="2025-09-15T00:00:00"/>
        <d v="2025-01-18T00:00:00"/>
        <d v="2025-04-14T00:00:00"/>
        <d v="2025-04-22T00:00:00"/>
        <d v="2025-09-17T00:00:00"/>
        <d v="2025-11-15T00:00:00"/>
        <d v="2025-12-16T00:00:00"/>
        <d v="2025-05-17T00:00:00"/>
        <d v="2025-12-22T00:00:00"/>
        <d v="2025-10-28T00:00:00"/>
        <d v="2025-05-22T00:00:00"/>
        <d v="2025-02-12T00:00:00"/>
        <d v="2025-06-17T00:00:00"/>
        <d v="2025-02-16T00:00:00"/>
        <d v="2025-12-31T00:00:00"/>
        <d v="2025-03-01T00:00:00"/>
        <d v="2025-10-04T00:00:00"/>
        <d v="2025-12-04T00:00:00"/>
        <d v="2025-09-04T00:00:00"/>
        <d v="2025-09-08T00:00:00"/>
        <d v="2025-05-27T00:00:00"/>
        <d v="2025-07-20T00:00:00"/>
        <d v="2025-11-04T00:00:00"/>
        <d v="2025-10-10T00:00:00"/>
        <d v="2025-12-29T00:00:00"/>
        <d v="2025-11-20T00:00:00"/>
        <d v="2025-11-28T00:00:00"/>
        <d v="2025-07-29T00:00:00"/>
        <d v="2025-12-23T00:00:00"/>
        <d v="2025-10-21T00:00:00"/>
        <d v="2025-10-12T00:00:00"/>
        <d v="2025-02-11T00:00:00"/>
        <d v="2025-06-13T00:00:00"/>
        <d v="2025-01-23T00:00:00"/>
        <d v="2025-08-01T00:00:00"/>
        <d v="2025-05-20T00:00:00"/>
        <d v="2025-01-17T00:00:00"/>
        <d v="2025-12-06T00:00:00"/>
        <d v="2025-05-14T00:00:00"/>
        <d v="2025-05-15T00:00:00"/>
        <d v="2025-07-14T00:00:00"/>
        <d v="2025-12-28T00:00:00"/>
        <d v="2025-03-09T00:00:00"/>
        <d v="2025-07-28T00:00:00"/>
        <d v="2025-11-16T00:00:00"/>
        <d v="2025-08-16T00:00:00"/>
        <d v="2025-11-19T00:00:00"/>
        <d v="2025-10-01T00:00:00"/>
        <d v="2025-12-20T00:00:00"/>
        <d v="2025-04-19T00:00:00"/>
        <d v="2025-06-30T00:00:00"/>
        <d v="2025-02-01T00:00:00"/>
        <d v="2025-07-13T00:00:00"/>
        <d v="2025-04-07T00:00:00"/>
        <d v="2025-01-25T00:00:00"/>
        <d v="2025-09-05T00:00:00"/>
        <d v="2025-06-23T00:00:00"/>
        <d v="2025-02-07T00:00:00"/>
        <d v="2025-06-11T00:00:00"/>
        <d v="2025-12-30T00:00:00"/>
        <d v="2025-12-26T00:00:00"/>
        <d v="2025-08-09T00:00:00"/>
        <d v="2025-04-02T00:00:00"/>
        <d v="2025-12-12T00:00:00"/>
        <d v="2025-07-26T00:00:00"/>
        <d v="2025-03-11T00:00:00"/>
        <d v="2025-10-31T00:00:00"/>
        <d v="2025-02-20T00:00:00"/>
        <d v="2025-03-05T00:00:00"/>
        <d v="2025-06-05T00:00:00"/>
        <d v="2025-02-14T00:00:00"/>
        <d v="2025-08-22T00:00:00"/>
        <d v="2025-03-12T00:00:00"/>
        <d v="2025-10-23T00:00:00"/>
        <d v="2025-07-30T00:00:00"/>
        <d v="2025-04-06T00:00:00"/>
        <d v="2025-12-05T00:00:00"/>
        <d v="2025-09-28T00:00:00"/>
        <d v="2025-05-12T00:00:00"/>
        <d v="2025-04-01T00:00:00"/>
        <d v="2025-07-19T00:00:00"/>
        <d v="2025-06-15T00:00:00"/>
        <d v="2025-09-21T00:00:00"/>
        <d v="2025-07-16T00:00:00"/>
        <d v="2025-04-03T00:00:00"/>
        <d v="2025-06-29T00:00:00"/>
        <d v="2025-03-18T00:00:00"/>
        <d v="2025-05-09T00:00:00"/>
        <d v="2025-06-09T00:00:00"/>
        <d v="2025-08-05T00:00:00"/>
        <d v="2025-05-29T00:00:00"/>
        <d v="2025-08-31T00:00:00"/>
        <d v="2025-01-26T00:00:00"/>
        <d v="2025-11-02T00:00:00"/>
        <d v="2025-08-06T00:00:00"/>
        <d v="2025-03-27T00:00:00"/>
        <d v="2025-01-29T00:00:00"/>
        <d v="2025-11-23T00:00:00"/>
        <d v="2025-06-22T00:00:00"/>
        <d v="2025-12-09T00:00:00"/>
        <d v="2025-06-19T00:00:00"/>
        <d v="2025-07-09T00:00:00"/>
        <d v="2025-01-10T00:00:00"/>
        <d v="2025-07-08T00:00:00"/>
        <d v="2025-03-31T00:00:00"/>
        <d v="2025-02-28T00:00:00"/>
        <d v="2025-01-27T00:00:00"/>
        <d v="2025-12-18T00:00:00"/>
        <d v="2025-02-25T00:00:00"/>
        <d v="2025-04-15T00:00:00"/>
        <d v="2025-05-06T00:00:00"/>
        <d v="2025-08-03T00:00:00"/>
        <d v="2025-12-10T00:00:00"/>
        <d v="2025-05-11T00:00:00"/>
        <d v="2025-09-23T00:00:00"/>
        <d v="2025-01-02T00:00:00"/>
        <d v="2025-01-14T00:00:00"/>
        <d v="2025-06-16T00:00:00"/>
        <d v="2025-02-13T00:00:00"/>
        <d v="2025-02-26T00:00:00"/>
        <d v="2025-04-20T00:00:00"/>
        <d v="2025-07-05T00:00:00"/>
        <d v="2025-09-11T00:00:00"/>
        <d v="2025-05-23T00:00:00"/>
        <d v="2025-01-11T00:00:00"/>
        <d v="2025-07-18T00:00:00"/>
        <d v="2025-07-04T00:00:00"/>
        <d v="2025-11-25T00:00:00"/>
        <d v="2025-05-26T00:00:00"/>
        <d v="2025-08-23T00:00:00"/>
        <d v="2025-01-03T00:00:00"/>
        <d v="2025-08-19T00:00:00"/>
        <d v="2025-01-21T00:00:00"/>
        <d v="2025-01-24T00:00:00"/>
        <d v="2025-12-01T00:00:00"/>
        <d v="2025-03-07T00:00:00"/>
        <d v="2025-03-14T00:00:00"/>
        <d v="2025-09-12T00:00:00"/>
        <d v="2025-07-23T00:00:00"/>
        <d v="2025-04-25T00:00:00"/>
        <d v="2025-11-03T00:00:00"/>
        <d v="2025-10-05T00:00:00"/>
        <d v="2025-04-10T00:00:00"/>
        <d v="2025-07-24T00:00:00"/>
        <d v="2025-10-18T00:00:00"/>
        <d v="2025-08-13T00:00:00"/>
        <d v="2025-07-03T00:00:00"/>
        <d v="2025-10-07T00:00:00"/>
        <d v="2025-04-12T00:00:00"/>
        <d v="2025-05-19T00:00:00"/>
        <d v="2025-03-29T00:00:00"/>
        <d v="2025-10-17T00:00:00"/>
        <d v="2025-11-17T00:00:00"/>
        <d v="2025-08-18T00:00:00"/>
        <d v="2025-08-27T00:00:00"/>
        <d v="2025-10-06T00:00:00"/>
        <d v="2025-12-17T00:00:00"/>
        <d v="2025-11-26T00:00:00"/>
        <d v="2025-07-22T00:00:00"/>
        <d v="2025-02-21T00:00:00"/>
        <d v="2025-12-07T00:00:00"/>
        <d v="2025-07-06T00:00:00"/>
        <d v="2025-02-02T00:00:00"/>
        <d v="2025-05-24T00:00:00"/>
        <d v="2025-02-18T00:00:00"/>
        <d v="2025-04-24T00:00:00"/>
        <d v="2025-03-26T00:00:00"/>
        <d v="2025-02-03T00:00:00"/>
        <d v="2025-03-22T00:00:00"/>
        <d v="2025-10-25T00:00:00"/>
        <d v="2025-08-24T00:00:00"/>
        <d v="2025-12-19T00:00:00"/>
      </sharedItems>
      <fieldGroup par="15"/>
    </cacheField>
    <cacheField name="Customer_Name" numFmtId="0">
      <sharedItems/>
    </cacheField>
    <cacheField name="Category" numFmtId="0">
      <sharedItems count="7">
        <s v="Home &amp; Kitchen"/>
        <s v="Electronics"/>
        <s v="Fashion"/>
        <s v="Beauty"/>
        <s v="Sports"/>
        <s v="Furniture"/>
        <s v="Books"/>
      </sharedItems>
    </cacheField>
    <cacheField name="Sub_Category" numFmtId="0">
      <sharedItems/>
    </cacheField>
    <cacheField name="Product" numFmtId="0">
      <sharedItems count="37">
        <s v="Mixer Grinder"/>
        <s v="Tablet"/>
        <s v="Jacket"/>
        <s v="Face Wash"/>
        <s v="Coffee Maker"/>
        <s v="Cookware Set"/>
        <s v="Keyboard"/>
        <s v="Smart Watch"/>
        <s v="Jeans"/>
        <s v="Badminton Racket"/>
        <s v="Bookshelf"/>
        <s v="Bluetooth Speaker"/>
        <s v="Data Analytics Book"/>
        <s v="Programming Book"/>
        <s v="Novel"/>
        <s v="Air Fryer"/>
        <s v="Cricket Bat"/>
        <s v="Yoga Mat"/>
        <s v="Perfume"/>
        <s v="Business Book"/>
        <s v="Skin Care Kit"/>
        <s v="Bedsheet"/>
        <s v="Smartphone"/>
        <s v="Dining Table"/>
        <s v="Men T-Shirt"/>
        <s v="Laptop"/>
        <s v="Women Kurti"/>
        <s v="Bed"/>
        <s v="Study Table"/>
        <s v="Sneakers"/>
        <s v="Headphones"/>
        <s v="Sofa"/>
        <s v="Office Chair"/>
        <s v="Shampoo"/>
        <s v="Football"/>
        <s v="Water Bottle"/>
        <s v="Mouse"/>
      </sharedItems>
    </cacheField>
    <cacheField name="Quantity" numFmtId="1">
      <sharedItems containsSemiMixedTypes="0" containsString="0" containsNumber="1" containsInteger="1" minValue="1" maxValue="5"/>
    </cacheField>
    <cacheField name="Sales" numFmtId="2">
      <sharedItems containsSemiMixedTypes="0" containsString="0" containsNumber="1" minValue="337.5" maxValue="253000"/>
    </cacheField>
    <cacheField name="Discount" numFmtId="10">
      <sharedItems containsSemiMixedTypes="0" containsString="0" containsNumber="1" minValue="0.04" maxValue="0.3"/>
    </cacheField>
    <cacheField name="Profit" numFmtId="4">
      <sharedItems containsSemiMixedTypes="0" containsString="0" containsNumber="1" minValue="50.06" maxValue="42808.14"/>
    </cacheField>
    <cacheField name="Payment_Mode" numFmtId="0">
      <sharedItems/>
    </cacheField>
    <cacheField name="State" numFmtId="0">
      <sharedItems/>
    </cacheField>
    <cacheField name="City" numFmtId="0">
      <sharedItems count="20">
        <s v="Indore"/>
        <s v="Ahmedabad"/>
        <s v="Bengaluru"/>
        <s v="New Delhi"/>
        <s v="Mumbai"/>
        <s v="Patna"/>
        <s v="Noida"/>
        <s v="Kota"/>
        <s v="Gurugram"/>
        <s v="Jodhpur"/>
        <s v="Jaipur"/>
        <s v="Hyderabad"/>
        <s v="Pune"/>
        <s v="Panaji"/>
        <s v="Kochi"/>
        <s v="Amritsar"/>
        <s v="Lucknow"/>
        <s v="Bhubaneswar"/>
        <s v="Kolkata"/>
        <s v="Chennai"/>
      </sharedItems>
    </cacheField>
    <cacheField name="Region" numFmtId="0">
      <sharedItems count="4">
        <s v="West"/>
        <s v="South"/>
        <s v="North"/>
        <s v="East"/>
      </sharedItems>
    </cacheField>
    <cacheField name="Customer_Type" numFmtId="0">
      <sharedItems/>
    </cacheField>
    <cacheField name="Months (Order_Date)" numFmtId="0" databaseField="0">
      <fieldGroup base="1">
        <rangePr groupBy="months" startDate="2025-01-02T00:00:00" endDate="2026-01-01T00:00:00"/>
        <groupItems count="14">
          <s v="&lt;02-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20883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1"/>
    <x v="0"/>
    <s v="Aman Verma"/>
    <x v="0"/>
    <s v="Mixer Grinder"/>
    <x v="0"/>
    <n v="3"/>
    <n v="12150"/>
    <n v="0.1"/>
    <n v="1676.37"/>
    <s v="Debit Card"/>
    <s v="Madhya Pradesh"/>
    <x v="0"/>
    <x v="0"/>
    <s v="New"/>
  </r>
  <r>
    <s v="ORD100002"/>
    <x v="1"/>
    <s v="Arjun Jain"/>
    <x v="1"/>
    <s v="Tablet"/>
    <x v="1"/>
    <n v="2"/>
    <n v="32400"/>
    <n v="0.1"/>
    <n v="3434.79"/>
    <s v="Credit Card"/>
    <s v="Gujarat"/>
    <x v="1"/>
    <x v="0"/>
    <s v="Returning"/>
  </r>
  <r>
    <s v="ORD100003"/>
    <x v="2"/>
    <s v="Aarav Kumawat"/>
    <x v="2"/>
    <s v="Jacket"/>
    <x v="2"/>
    <n v="1"/>
    <n v="2492"/>
    <n v="0.11"/>
    <n v="461.23"/>
    <s v="Wallet"/>
    <s v="Karnataka"/>
    <x v="2"/>
    <x v="1"/>
    <s v="New"/>
  </r>
  <r>
    <s v="ORD100004"/>
    <x v="3"/>
    <s v="Priya Yadav"/>
    <x v="1"/>
    <s v="Tablet"/>
    <x v="1"/>
    <n v="2"/>
    <n v="33840"/>
    <n v="0.06"/>
    <n v="4040.24"/>
    <s v="Credit Card"/>
    <s v="Delhi"/>
    <x v="3"/>
    <x v="2"/>
    <s v="Returning"/>
  </r>
  <r>
    <s v="ORD100005"/>
    <x v="4"/>
    <s v="Ananya Kumar"/>
    <x v="3"/>
    <s v="Face Wash"/>
    <x v="3"/>
    <n v="2"/>
    <n v="747"/>
    <n v="0.17"/>
    <n v="119.92"/>
    <s v="Cash on Delivery"/>
    <s v="Delhi"/>
    <x v="3"/>
    <x v="2"/>
    <s v="Returning"/>
  </r>
  <r>
    <s v="ORD100006"/>
    <x v="5"/>
    <s v="Karan Singh"/>
    <x v="0"/>
    <s v="Coffee Maker"/>
    <x v="4"/>
    <n v="2"/>
    <n v="8500"/>
    <n v="0.15"/>
    <n v="1040.3"/>
    <s v="Wallet"/>
    <s v="Gujarat"/>
    <x v="1"/>
    <x v="0"/>
    <s v="Returning"/>
  </r>
  <r>
    <s v="ORD100007"/>
    <x v="6"/>
    <s v="Arjun Meena"/>
    <x v="0"/>
    <s v="Cookware Set"/>
    <x v="5"/>
    <n v="5"/>
    <n v="16100"/>
    <n v="0.08"/>
    <n v="1994.83"/>
    <s v="Wallet"/>
    <s v="Maharashtra"/>
    <x v="4"/>
    <x v="0"/>
    <s v="Returning"/>
  </r>
  <r>
    <s v="ORD100008"/>
    <x v="7"/>
    <s v="Karan Gupta"/>
    <x v="0"/>
    <s v="Cookware Set"/>
    <x v="5"/>
    <n v="2"/>
    <n v="5740"/>
    <n v="0.18"/>
    <n v="873.33"/>
    <s v="UPI"/>
    <s v="Bihar"/>
    <x v="5"/>
    <x v="3"/>
    <s v="Returning"/>
  </r>
  <r>
    <s v="ORD100009"/>
    <x v="8"/>
    <s v="Sneha Sharma"/>
    <x v="1"/>
    <s v="Keyboard"/>
    <x v="6"/>
    <n v="4"/>
    <n v="6192"/>
    <n v="0.14000000000000001"/>
    <n v="899.65"/>
    <s v="Debit Card"/>
    <s v="Uttar Pradesh"/>
    <x v="6"/>
    <x v="2"/>
    <s v="New"/>
  </r>
  <r>
    <s v="ORD100010"/>
    <x v="9"/>
    <s v="Karan Singh"/>
    <x v="1"/>
    <s v="Smart Watch"/>
    <x v="7"/>
    <n v="5"/>
    <n v="22500"/>
    <n v="0.1"/>
    <n v="2751.07"/>
    <s v="UPI"/>
    <s v="Delhi"/>
    <x v="3"/>
    <x v="2"/>
    <s v="Returning"/>
  </r>
  <r>
    <s v="ORD100011"/>
    <x v="10"/>
    <s v="Vivaan Sharma"/>
    <x v="2"/>
    <s v="Jeans"/>
    <x v="8"/>
    <n v="3"/>
    <n v="4266"/>
    <n v="0.21"/>
    <n v="952.01"/>
    <s v="UPI"/>
    <s v="Rajasthan"/>
    <x v="7"/>
    <x v="0"/>
    <s v="New"/>
  </r>
  <r>
    <s v="ORD100012"/>
    <x v="11"/>
    <s v="Rahul Singh"/>
    <x v="1"/>
    <s v="Smart Watch"/>
    <x v="7"/>
    <n v="5"/>
    <n v="22500"/>
    <n v="0.1"/>
    <n v="2450.31"/>
    <s v="Credit Card"/>
    <s v="Haryana"/>
    <x v="8"/>
    <x v="2"/>
    <s v="Returning"/>
  </r>
  <r>
    <s v="ORD100013"/>
    <x v="12"/>
    <s v="Pooja Singh"/>
    <x v="4"/>
    <s v="Badminton Racket"/>
    <x v="9"/>
    <n v="3"/>
    <n v="4050"/>
    <n v="0.25"/>
    <n v="503.71"/>
    <s v="Wallet"/>
    <s v="Maharashtra"/>
    <x v="4"/>
    <x v="0"/>
    <s v="Returning"/>
  </r>
  <r>
    <s v="ORD100014"/>
    <x v="13"/>
    <s v="Aman Verma"/>
    <x v="4"/>
    <s v="Badminton Racket"/>
    <x v="9"/>
    <n v="3"/>
    <n v="4698"/>
    <n v="0.13"/>
    <n v="645.77"/>
    <s v="Credit Card"/>
    <s v="Rajasthan"/>
    <x v="9"/>
    <x v="0"/>
    <s v="Returning"/>
  </r>
  <r>
    <s v="ORD100015"/>
    <x v="14"/>
    <s v="Rohit Verma"/>
    <x v="5"/>
    <s v="Bookshelf"/>
    <x v="10"/>
    <n v="5"/>
    <n v="21000"/>
    <n v="0.16"/>
    <n v="1857.66"/>
    <s v="UPI"/>
    <s v="Rajasthan"/>
    <x v="10"/>
    <x v="0"/>
    <s v="New"/>
  </r>
  <r>
    <s v="ORD100016"/>
    <x v="15"/>
    <s v="Nisha Agarwal"/>
    <x v="1"/>
    <s v="Bluetooth Speaker"/>
    <x v="11"/>
    <n v="3"/>
    <n v="9555"/>
    <n v="0.09"/>
    <n v="1849.77"/>
    <s v="Debit Card"/>
    <s v="Rajasthan"/>
    <x v="10"/>
    <x v="0"/>
    <s v="Returning"/>
  </r>
  <r>
    <s v="ORD100017"/>
    <x v="16"/>
    <s v="Priya Jain"/>
    <x v="4"/>
    <s v="Badminton Racket"/>
    <x v="9"/>
    <n v="3"/>
    <n v="4698"/>
    <n v="0.13"/>
    <n v="869.59"/>
    <s v="Credit Card"/>
    <s v="Telangana"/>
    <x v="11"/>
    <x v="1"/>
    <s v="Returning"/>
  </r>
  <r>
    <s v="ORD100018"/>
    <x v="17"/>
    <s v="Priya Yadav"/>
    <x v="6"/>
    <s v="Data Analytics Book"/>
    <x v="12"/>
    <n v="1"/>
    <n v="984"/>
    <n v="0.18"/>
    <n v="195.44"/>
    <s v="UPI"/>
    <s v="Maharashtra"/>
    <x v="12"/>
    <x v="0"/>
    <s v="New"/>
  </r>
  <r>
    <s v="ORD100019"/>
    <x v="18"/>
    <s v="Simran Kumar"/>
    <x v="3"/>
    <s v="Face Wash"/>
    <x v="3"/>
    <n v="2"/>
    <n v="693"/>
    <n v="0.23"/>
    <n v="104.82"/>
    <s v="Debit Card"/>
    <s v="Uttar Pradesh"/>
    <x v="6"/>
    <x v="2"/>
    <s v="New"/>
  </r>
  <r>
    <s v="ORD100020"/>
    <x v="19"/>
    <s v="Rohit Jain"/>
    <x v="6"/>
    <s v="Programming Book"/>
    <x v="13"/>
    <n v="2"/>
    <n v="1368"/>
    <n v="0.24"/>
    <n v="232.92"/>
    <s v="UPI"/>
    <s v="Karnataka"/>
    <x v="2"/>
    <x v="1"/>
    <s v="New"/>
  </r>
  <r>
    <s v="ORD100021"/>
    <x v="20"/>
    <s v="Rohit Singh"/>
    <x v="6"/>
    <s v="Novel"/>
    <x v="14"/>
    <n v="1"/>
    <n v="365"/>
    <n v="0.27"/>
    <n v="78.53"/>
    <s v="Cash on Delivery"/>
    <s v="Goa"/>
    <x v="13"/>
    <x v="0"/>
    <s v="New"/>
  </r>
  <r>
    <s v="ORD100022"/>
    <x v="21"/>
    <s v="Aarav Jain"/>
    <x v="0"/>
    <s v="Cookware Set"/>
    <x v="5"/>
    <n v="3"/>
    <n v="8925"/>
    <n v="0.15"/>
    <n v="1141.17"/>
    <s v="Wallet"/>
    <s v="Kerala"/>
    <x v="14"/>
    <x v="1"/>
    <s v="Returning"/>
  </r>
  <r>
    <s v="ORD100023"/>
    <x v="22"/>
    <s v="Aditya Yadav"/>
    <x v="0"/>
    <s v="Air Fryer"/>
    <x v="15"/>
    <n v="5"/>
    <n v="28600"/>
    <n v="0.12"/>
    <n v="3702.11"/>
    <s v="Credit Card"/>
    <s v="Telangana"/>
    <x v="11"/>
    <x v="1"/>
    <s v="New"/>
  </r>
  <r>
    <s v="ORD100024"/>
    <x v="23"/>
    <s v="Kavya Gupta"/>
    <x v="4"/>
    <s v="Badminton Racket"/>
    <x v="9"/>
    <n v="3"/>
    <n v="4752"/>
    <n v="0.12"/>
    <n v="555.92999999999995"/>
    <s v="Debit Card"/>
    <s v="Karnataka"/>
    <x v="2"/>
    <x v="1"/>
    <s v="Returning"/>
  </r>
  <r>
    <s v="ORD100025"/>
    <x v="24"/>
    <s v="Aarav Jain"/>
    <x v="5"/>
    <s v="Bookshelf"/>
    <x v="10"/>
    <n v="1"/>
    <n v="4100"/>
    <n v="0.18"/>
    <n v="377.78"/>
    <s v="Wallet"/>
    <s v="Kerala"/>
    <x v="14"/>
    <x v="1"/>
    <s v="Returning"/>
  </r>
  <r>
    <s v="ORD100026"/>
    <x v="25"/>
    <s v="Vivaan Meena"/>
    <x v="0"/>
    <s v="Air Fryer"/>
    <x v="15"/>
    <n v="4"/>
    <n v="24180"/>
    <n v="7.0000000000000007E-2"/>
    <n v="2886.31"/>
    <s v="Debit Card"/>
    <s v="Punjab"/>
    <x v="15"/>
    <x v="2"/>
    <s v="New"/>
  </r>
  <r>
    <s v="ORD100027"/>
    <x v="2"/>
    <s v="Aarav Singh"/>
    <x v="4"/>
    <s v="Cricket Bat"/>
    <x v="16"/>
    <n v="2"/>
    <n v="6020"/>
    <n v="0.14000000000000001"/>
    <n v="965.21"/>
    <s v="Debit Card"/>
    <s v="Punjab"/>
    <x v="15"/>
    <x v="2"/>
    <s v="New"/>
  </r>
  <r>
    <s v="ORD100028"/>
    <x v="14"/>
    <s v="Vivaan Gupta"/>
    <x v="4"/>
    <s v="Yoga Mat"/>
    <x v="17"/>
    <n v="1"/>
    <n v="702"/>
    <n v="0.22"/>
    <n v="111.32"/>
    <s v="Cash on Delivery"/>
    <s v="Madhya Pradesh"/>
    <x v="0"/>
    <x v="0"/>
    <s v="New"/>
  </r>
  <r>
    <s v="ORD100029"/>
    <x v="26"/>
    <s v="Isha Sharma"/>
    <x v="3"/>
    <s v="Perfume"/>
    <x v="18"/>
    <n v="2"/>
    <n v="2988"/>
    <n v="0.17"/>
    <n v="605.55999999999995"/>
    <s v="Net Banking"/>
    <s v="Maharashtra"/>
    <x v="12"/>
    <x v="0"/>
    <s v="New"/>
  </r>
  <r>
    <s v="ORD100030"/>
    <x v="27"/>
    <s v="Ananya Gupta"/>
    <x v="6"/>
    <s v="Business Book"/>
    <x v="19"/>
    <n v="1"/>
    <n v="553"/>
    <n v="0.21"/>
    <n v="98.5"/>
    <s v="Debit Card"/>
    <s v="Rajasthan"/>
    <x v="10"/>
    <x v="0"/>
    <s v="Returning"/>
  </r>
  <r>
    <s v="ORD100031"/>
    <x v="28"/>
    <s v="Sahil Meena"/>
    <x v="1"/>
    <s v="Tablet"/>
    <x v="1"/>
    <n v="3"/>
    <n v="50760"/>
    <n v="0.06"/>
    <n v="7347.01"/>
    <s v="Credit Card"/>
    <s v="Uttar Pradesh"/>
    <x v="16"/>
    <x v="2"/>
    <s v="Returning"/>
  </r>
  <r>
    <s v="ORD100032"/>
    <x v="29"/>
    <s v="Isha Jain"/>
    <x v="3"/>
    <s v="Skin Care Kit"/>
    <x v="20"/>
    <n v="5"/>
    <n v="9130"/>
    <n v="0.17"/>
    <n v="1578.07"/>
    <s v="Cash on Delivery"/>
    <s v="Bihar"/>
    <x v="5"/>
    <x v="3"/>
    <s v="Returning"/>
  </r>
  <r>
    <s v="ORD100033"/>
    <x v="30"/>
    <s v="Aman Agarwal"/>
    <x v="0"/>
    <s v="Bedsheet"/>
    <x v="21"/>
    <n v="1"/>
    <n v="996"/>
    <n v="0.17"/>
    <n v="152.21"/>
    <s v="Cash on Delivery"/>
    <s v="Odisha"/>
    <x v="17"/>
    <x v="3"/>
    <s v="New"/>
  </r>
  <r>
    <s v="ORD100034"/>
    <x v="31"/>
    <s v="Sneha Kumar"/>
    <x v="4"/>
    <s v="Badminton Racket"/>
    <x v="9"/>
    <n v="3"/>
    <n v="4752"/>
    <n v="0.12"/>
    <n v="855.52"/>
    <s v="Cash on Delivery"/>
    <s v="Telangana"/>
    <x v="11"/>
    <x v="1"/>
    <s v="Returning"/>
  </r>
  <r>
    <s v="ORD100035"/>
    <x v="32"/>
    <s v="Rohit Meena"/>
    <x v="4"/>
    <s v="Yoga Mat"/>
    <x v="17"/>
    <n v="3"/>
    <n v="2241"/>
    <n v="0.17"/>
    <n v="441.45"/>
    <s v="Cash on Delivery"/>
    <s v="Maharashtra"/>
    <x v="12"/>
    <x v="0"/>
    <s v="Returning"/>
  </r>
  <r>
    <s v="ORD100036"/>
    <x v="33"/>
    <s v="Nisha Singh"/>
    <x v="0"/>
    <s v="Air Fryer"/>
    <x v="15"/>
    <n v="1"/>
    <n v="6175"/>
    <n v="0.05"/>
    <n v="769.78"/>
    <s v="Debit Card"/>
    <s v="Telangana"/>
    <x v="11"/>
    <x v="1"/>
    <s v="Returning"/>
  </r>
  <r>
    <s v="ORD100037"/>
    <x v="34"/>
    <s v="Rahul Kumawat"/>
    <x v="2"/>
    <s v="Jeans"/>
    <x v="8"/>
    <n v="4"/>
    <n v="5976"/>
    <n v="0.17"/>
    <n v="1099.17"/>
    <s v="Credit Card"/>
    <s v="Rajasthan"/>
    <x v="10"/>
    <x v="0"/>
    <s v="New"/>
  </r>
  <r>
    <s v="ORD100038"/>
    <x v="35"/>
    <s v="Karan Gupta"/>
    <x v="1"/>
    <s v="Smart Watch"/>
    <x v="7"/>
    <n v="2"/>
    <n v="9100"/>
    <n v="0.09"/>
    <n v="1235.0899999999999"/>
    <s v="Cash on Delivery"/>
    <s v="Odisha"/>
    <x v="17"/>
    <x v="3"/>
    <s v="Returning"/>
  </r>
  <r>
    <s v="ORD100039"/>
    <x v="36"/>
    <s v="Sneha Sharma"/>
    <x v="1"/>
    <s v="Smart Watch"/>
    <x v="7"/>
    <n v="5"/>
    <n v="21250"/>
    <n v="0.15"/>
    <n v="3081.2"/>
    <s v="UPI"/>
    <s v="Maharashtra"/>
    <x v="4"/>
    <x v="0"/>
    <s v="Returning"/>
  </r>
  <r>
    <s v="ORD100040"/>
    <x v="19"/>
    <s v="Sahil Meena"/>
    <x v="6"/>
    <s v="Novel"/>
    <x v="14"/>
    <n v="1"/>
    <n v="380"/>
    <n v="0.24"/>
    <n v="83.18"/>
    <s v="Net Banking"/>
    <s v="Maharashtra"/>
    <x v="12"/>
    <x v="0"/>
    <s v="Returning"/>
  </r>
  <r>
    <s v="ORD100041"/>
    <x v="37"/>
    <s v="Kavya Jain"/>
    <x v="1"/>
    <s v="Smartphone"/>
    <x v="22"/>
    <n v="1"/>
    <n v="21750"/>
    <n v="0.13"/>
    <n v="2678.64"/>
    <s v="Cash on Delivery"/>
    <s v="Goa"/>
    <x v="13"/>
    <x v="0"/>
    <s v="Returning"/>
  </r>
  <r>
    <s v="ORD100042"/>
    <x v="38"/>
    <s v="Aditya Sharma"/>
    <x v="6"/>
    <s v="Data Analytics Book"/>
    <x v="12"/>
    <n v="1"/>
    <n v="960"/>
    <n v="0.2"/>
    <n v="207.86"/>
    <s v="Cash on Delivery"/>
    <s v="Uttar Pradesh"/>
    <x v="6"/>
    <x v="2"/>
    <s v="Returning"/>
  </r>
  <r>
    <s v="ORD100043"/>
    <x v="39"/>
    <s v="Pooja Kumar"/>
    <x v="6"/>
    <s v="Business Book"/>
    <x v="19"/>
    <n v="3"/>
    <n v="1659"/>
    <n v="0.21"/>
    <n v="294.76"/>
    <s v="Credit Card"/>
    <s v="Uttar Pradesh"/>
    <x v="16"/>
    <x v="2"/>
    <s v="Returning"/>
  </r>
  <r>
    <s v="ORD100044"/>
    <x v="40"/>
    <s v="Simran Agarwal"/>
    <x v="5"/>
    <s v="Bookshelf"/>
    <x v="10"/>
    <n v="3"/>
    <n v="12000"/>
    <n v="0.2"/>
    <n v="1508.89"/>
    <s v="Credit Card"/>
    <s v="Maharashtra"/>
    <x v="4"/>
    <x v="0"/>
    <s v="Returning"/>
  </r>
  <r>
    <s v="ORD100045"/>
    <x v="41"/>
    <s v="Vikas Jain"/>
    <x v="6"/>
    <s v="Business Book"/>
    <x v="19"/>
    <n v="1"/>
    <n v="560"/>
    <n v="0.2"/>
    <n v="111.76"/>
    <s v="Wallet"/>
    <s v="Telangana"/>
    <x v="11"/>
    <x v="1"/>
    <s v="Returning"/>
  </r>
  <r>
    <s v="ORD100046"/>
    <x v="42"/>
    <s v="Priya Sharma"/>
    <x v="5"/>
    <s v="Dining Table"/>
    <x v="23"/>
    <n v="3"/>
    <n v="54780"/>
    <n v="0.17"/>
    <n v="6384.09"/>
    <s v="UPI"/>
    <s v="Telangana"/>
    <x v="11"/>
    <x v="1"/>
    <s v="Returning"/>
  </r>
  <r>
    <s v="ORD100047"/>
    <x v="43"/>
    <s v="Kavya Agarwal"/>
    <x v="5"/>
    <s v="Dining Table"/>
    <x v="23"/>
    <n v="1"/>
    <n v="17820"/>
    <n v="0.19"/>
    <n v="1902.22"/>
    <s v="Debit Card"/>
    <s v="Goa"/>
    <x v="13"/>
    <x v="0"/>
    <s v="Returning"/>
  </r>
  <r>
    <s v="ORD100048"/>
    <x v="44"/>
    <s v="Sneha Gupta"/>
    <x v="6"/>
    <s v="Business Book"/>
    <x v="19"/>
    <n v="4"/>
    <n v="2324"/>
    <n v="0.17"/>
    <n v="457.21"/>
    <s v="UPI"/>
    <s v="Karnataka"/>
    <x v="2"/>
    <x v="1"/>
    <s v="Returning"/>
  </r>
  <r>
    <s v="ORD100049"/>
    <x v="45"/>
    <s v="Sahil Kumawat"/>
    <x v="1"/>
    <s v="Smart Watch"/>
    <x v="7"/>
    <n v="1"/>
    <n v="4400"/>
    <n v="0.12"/>
    <n v="660.42"/>
    <s v="Cash on Delivery"/>
    <s v="Kerala"/>
    <x v="14"/>
    <x v="1"/>
    <s v="New"/>
  </r>
  <r>
    <s v="ORD100050"/>
    <x v="39"/>
    <s v="Sahil Kumawat"/>
    <x v="1"/>
    <s v="Keyboard"/>
    <x v="6"/>
    <n v="3"/>
    <n v="4644"/>
    <n v="0.14000000000000001"/>
    <n v="630.66"/>
    <s v="Wallet"/>
    <s v="Maharashtra"/>
    <x v="12"/>
    <x v="0"/>
    <s v="New"/>
  </r>
  <r>
    <s v="ORD100051"/>
    <x v="43"/>
    <s v="Karan Sharma"/>
    <x v="0"/>
    <s v="Coffee Maker"/>
    <x v="4"/>
    <n v="3"/>
    <n v="13500"/>
    <n v="0.1"/>
    <n v="1817.96"/>
    <s v="Wallet"/>
    <s v="West Bengal"/>
    <x v="18"/>
    <x v="3"/>
    <s v="New"/>
  </r>
  <r>
    <s v="ORD100052"/>
    <x v="46"/>
    <s v="Sahil Kumawat"/>
    <x v="1"/>
    <s v="Tablet"/>
    <x v="1"/>
    <n v="1"/>
    <n v="16560"/>
    <n v="0.08"/>
    <n v="1801.65"/>
    <s v="Net Banking"/>
    <s v="Punjab"/>
    <x v="15"/>
    <x v="2"/>
    <s v="New"/>
  </r>
  <r>
    <s v="ORD100053"/>
    <x v="47"/>
    <s v="Aman Sharma"/>
    <x v="2"/>
    <s v="Jacket"/>
    <x v="2"/>
    <n v="3"/>
    <n v="7476"/>
    <n v="0.11"/>
    <n v="1484.5"/>
    <s v="Net Banking"/>
    <s v="West Bengal"/>
    <x v="18"/>
    <x v="3"/>
    <s v="Returning"/>
  </r>
  <r>
    <s v="ORD100054"/>
    <x v="48"/>
    <s v="Sneha Gupta"/>
    <x v="2"/>
    <s v="Men T-Shirt"/>
    <x v="24"/>
    <n v="2"/>
    <n v="1350"/>
    <n v="0.25"/>
    <n v="234.01"/>
    <s v="UPI"/>
    <s v="Kerala"/>
    <x v="14"/>
    <x v="1"/>
    <s v="New"/>
  </r>
  <r>
    <s v="ORD100055"/>
    <x v="49"/>
    <s v="Ananya Sharma"/>
    <x v="1"/>
    <s v="Tablet"/>
    <x v="1"/>
    <n v="3"/>
    <n v="44280"/>
    <n v="0.18"/>
    <n v="3976.01"/>
    <s v="Credit Card"/>
    <s v="Punjab"/>
    <x v="15"/>
    <x v="2"/>
    <s v="Returning"/>
  </r>
  <r>
    <s v="ORD100056"/>
    <x v="50"/>
    <s v="Arjun Kumawat"/>
    <x v="3"/>
    <s v="Perfume"/>
    <x v="18"/>
    <n v="2"/>
    <n v="2988"/>
    <n v="0.17"/>
    <n v="707.87"/>
    <s v="Net Banking"/>
    <s v="Rajasthan"/>
    <x v="10"/>
    <x v="0"/>
    <s v="Returning"/>
  </r>
  <r>
    <s v="ORD100057"/>
    <x v="39"/>
    <s v="Pooja Singh"/>
    <x v="1"/>
    <s v="Bluetooth Speaker"/>
    <x v="11"/>
    <n v="1"/>
    <n v="2800"/>
    <n v="0.2"/>
    <n v="214.88"/>
    <s v="Credit Card"/>
    <s v="Rajasthan"/>
    <x v="9"/>
    <x v="0"/>
    <s v="Returning"/>
  </r>
  <r>
    <s v="ORD100058"/>
    <x v="51"/>
    <s v="Pooja Gupta"/>
    <x v="4"/>
    <s v="Yoga Mat"/>
    <x v="17"/>
    <n v="2"/>
    <n v="1422"/>
    <n v="0.21"/>
    <n v="216.95"/>
    <s v="Net Banking"/>
    <s v="Telangana"/>
    <x v="11"/>
    <x v="1"/>
    <s v="New"/>
  </r>
  <r>
    <s v="ORD100059"/>
    <x v="52"/>
    <s v="Vivaan Agarwal"/>
    <x v="1"/>
    <s v="Laptop"/>
    <x v="25"/>
    <n v="2"/>
    <n v="99000"/>
    <n v="0.1"/>
    <n v="11996.28"/>
    <s v="Net Banking"/>
    <s v="Maharashtra"/>
    <x v="12"/>
    <x v="0"/>
    <s v="Returning"/>
  </r>
  <r>
    <s v="ORD100060"/>
    <x v="53"/>
    <s v="Sahil Kumawat"/>
    <x v="0"/>
    <s v="Coffee Maker"/>
    <x v="4"/>
    <n v="2"/>
    <n v="9100"/>
    <n v="0.09"/>
    <n v="1241.6099999999999"/>
    <s v="Net Banking"/>
    <s v="Madhya Pradesh"/>
    <x v="0"/>
    <x v="0"/>
    <s v="Returning"/>
  </r>
  <r>
    <s v="ORD100061"/>
    <x v="54"/>
    <s v="Arjun Sharma"/>
    <x v="6"/>
    <s v="Programming Book"/>
    <x v="13"/>
    <n v="3"/>
    <n v="2160"/>
    <n v="0.2"/>
    <n v="365.79"/>
    <s v="Debit Card"/>
    <s v="Rajasthan"/>
    <x v="7"/>
    <x v="0"/>
    <s v="Returning"/>
  </r>
  <r>
    <s v="ORD100062"/>
    <x v="49"/>
    <s v="Priya Sharma"/>
    <x v="1"/>
    <s v="Smart Watch"/>
    <x v="7"/>
    <n v="4"/>
    <n v="17800"/>
    <n v="0.11"/>
    <n v="3443.97"/>
    <s v="Net Banking"/>
    <s v="Tamil Nadu"/>
    <x v="19"/>
    <x v="1"/>
    <s v="Returning"/>
  </r>
  <r>
    <s v="ORD100063"/>
    <x v="55"/>
    <s v="Ananya Kumar"/>
    <x v="6"/>
    <s v="Programming Book"/>
    <x v="13"/>
    <n v="2"/>
    <n v="1332"/>
    <n v="0.26"/>
    <n v="282.18"/>
    <s v="Debit Card"/>
    <s v="Tamil Nadu"/>
    <x v="19"/>
    <x v="1"/>
    <s v="New"/>
  </r>
  <r>
    <s v="ORD100064"/>
    <x v="56"/>
    <s v="Vivaan Verma"/>
    <x v="4"/>
    <s v="Yoga Mat"/>
    <x v="17"/>
    <n v="3"/>
    <n v="2187"/>
    <n v="0.19"/>
    <n v="422.9"/>
    <s v="Debit Card"/>
    <s v="Uttar Pradesh"/>
    <x v="16"/>
    <x v="2"/>
    <s v="New"/>
  </r>
  <r>
    <s v="ORD100065"/>
    <x v="57"/>
    <s v="Rahul Verma"/>
    <x v="0"/>
    <s v="Coffee Maker"/>
    <x v="4"/>
    <n v="5"/>
    <n v="21750"/>
    <n v="0.13"/>
    <n v="2783.27"/>
    <s v="Net Banking"/>
    <s v="Rajasthan"/>
    <x v="9"/>
    <x v="0"/>
    <s v="New"/>
  </r>
  <r>
    <s v="ORD100066"/>
    <x v="58"/>
    <s v="Neha Singh"/>
    <x v="2"/>
    <s v="Jeans"/>
    <x v="8"/>
    <n v="3"/>
    <n v="4752"/>
    <n v="0.12"/>
    <n v="1033.55"/>
    <s v="Cash on Delivery"/>
    <s v="Karnataka"/>
    <x v="2"/>
    <x v="1"/>
    <s v="Returning"/>
  </r>
  <r>
    <s v="ORD100067"/>
    <x v="59"/>
    <s v="Aditya Singh"/>
    <x v="3"/>
    <s v="Skin Care Kit"/>
    <x v="20"/>
    <n v="1"/>
    <n v="1980"/>
    <n v="0.1"/>
    <n v="341.75"/>
    <s v="Credit Card"/>
    <s v="Maharashtra"/>
    <x v="12"/>
    <x v="0"/>
    <s v="Returning"/>
  </r>
  <r>
    <s v="ORD100068"/>
    <x v="60"/>
    <s v="Sahil Meena"/>
    <x v="1"/>
    <s v="Laptop"/>
    <x v="25"/>
    <n v="2"/>
    <n v="104500"/>
    <n v="0.05"/>
    <n v="12039.62"/>
    <s v="UPI"/>
    <s v="Rajasthan"/>
    <x v="9"/>
    <x v="0"/>
    <s v="Returning"/>
  </r>
  <r>
    <s v="ORD100069"/>
    <x v="61"/>
    <s v="Pooja Agarwal"/>
    <x v="2"/>
    <s v="Women Kurti"/>
    <x v="26"/>
    <n v="3"/>
    <n v="3360"/>
    <n v="0.2"/>
    <n v="619.84"/>
    <s v="UPI"/>
    <s v="Rajasthan"/>
    <x v="10"/>
    <x v="0"/>
    <s v="New"/>
  </r>
  <r>
    <s v="ORD100070"/>
    <x v="62"/>
    <s v="Nisha Jain"/>
    <x v="5"/>
    <s v="Bed"/>
    <x v="27"/>
    <n v="5"/>
    <n v="120000"/>
    <n v="0.2"/>
    <n v="15591.34"/>
    <s v="Net Banking"/>
    <s v="Rajasthan"/>
    <x v="9"/>
    <x v="0"/>
    <s v="Returning"/>
  </r>
  <r>
    <s v="ORD100071"/>
    <x v="63"/>
    <s v="Ananya Jain"/>
    <x v="1"/>
    <s v="Tablet"/>
    <x v="1"/>
    <n v="3"/>
    <n v="42660"/>
    <n v="0.21"/>
    <n v="5886.63"/>
    <s v="Credit Card"/>
    <s v="Bihar"/>
    <x v="5"/>
    <x v="3"/>
    <s v="Returning"/>
  </r>
  <r>
    <s v="ORD100072"/>
    <x v="64"/>
    <s v="Rohit Singh"/>
    <x v="2"/>
    <s v="Jacket"/>
    <x v="2"/>
    <n v="3"/>
    <n v="6804"/>
    <n v="0.19"/>
    <n v="1148.55"/>
    <s v="Wallet"/>
    <s v="Telangana"/>
    <x v="11"/>
    <x v="1"/>
    <s v="Returning"/>
  </r>
  <r>
    <s v="ORD100073"/>
    <x v="65"/>
    <s v="Priya Agarwal"/>
    <x v="5"/>
    <s v="Dining Table"/>
    <x v="23"/>
    <n v="2"/>
    <n v="39600"/>
    <n v="0.1"/>
    <n v="3968.88"/>
    <s v="Net Banking"/>
    <s v="Haryana"/>
    <x v="8"/>
    <x v="2"/>
    <s v="Returning"/>
  </r>
  <r>
    <s v="ORD100074"/>
    <x v="58"/>
    <s v="Sneha Verma"/>
    <x v="2"/>
    <s v="Women Kurti"/>
    <x v="26"/>
    <n v="1"/>
    <n v="1022"/>
    <n v="0.27"/>
    <n v="229.72"/>
    <s v="Debit Card"/>
    <s v="West Bengal"/>
    <x v="18"/>
    <x v="3"/>
    <s v="Returning"/>
  </r>
  <r>
    <s v="ORD100075"/>
    <x v="66"/>
    <s v="Vikas Gupta"/>
    <x v="3"/>
    <s v="Face Wash"/>
    <x v="3"/>
    <n v="1"/>
    <n v="360"/>
    <n v="0.2"/>
    <n v="50.06"/>
    <s v="Net Banking"/>
    <s v="Gujarat"/>
    <x v="1"/>
    <x v="0"/>
    <s v="New"/>
  </r>
  <r>
    <s v="ORD100076"/>
    <x v="67"/>
    <s v="Aarav Gupta"/>
    <x v="2"/>
    <s v="Men T-Shirt"/>
    <x v="24"/>
    <n v="2"/>
    <n v="1422"/>
    <n v="0.21"/>
    <n v="203.42"/>
    <s v="Wallet"/>
    <s v="Uttar Pradesh"/>
    <x v="6"/>
    <x v="2"/>
    <s v="New"/>
  </r>
  <r>
    <s v="ORD100077"/>
    <x v="68"/>
    <s v="Aditya Singh"/>
    <x v="6"/>
    <s v="Data Analytics Book"/>
    <x v="12"/>
    <n v="2"/>
    <n v="1896"/>
    <n v="0.21"/>
    <n v="367.12"/>
    <s v="Wallet"/>
    <s v="Tamil Nadu"/>
    <x v="19"/>
    <x v="1"/>
    <s v="New"/>
  </r>
  <r>
    <s v="ORD100078"/>
    <x v="69"/>
    <s v="Rohit Singh"/>
    <x v="1"/>
    <s v="Smartphone"/>
    <x v="22"/>
    <n v="3"/>
    <n v="63000"/>
    <n v="0.16"/>
    <n v="6164.92"/>
    <s v="Wallet"/>
    <s v="Maharashtra"/>
    <x v="12"/>
    <x v="0"/>
    <s v="Returning"/>
  </r>
  <r>
    <s v="ORD100079"/>
    <x v="70"/>
    <s v="Arjun Singh"/>
    <x v="4"/>
    <s v="Yoga Mat"/>
    <x v="17"/>
    <n v="2"/>
    <n v="1476"/>
    <n v="0.18"/>
    <n v="254.36"/>
    <s v="Wallet"/>
    <s v="Odisha"/>
    <x v="17"/>
    <x v="3"/>
    <s v="Returning"/>
  </r>
  <r>
    <s v="ORD100080"/>
    <x v="71"/>
    <s v="Neha Verma"/>
    <x v="1"/>
    <s v="Tablet"/>
    <x v="1"/>
    <n v="1"/>
    <n v="16740"/>
    <n v="7.0000000000000007E-2"/>
    <n v="946.31"/>
    <s v="Credit Card"/>
    <s v="Maharashtra"/>
    <x v="12"/>
    <x v="0"/>
    <s v="Returning"/>
  </r>
  <r>
    <s v="ORD100081"/>
    <x v="72"/>
    <s v="Vivaan Jain"/>
    <x v="0"/>
    <s v="Bedsheet"/>
    <x v="21"/>
    <n v="1"/>
    <n v="984"/>
    <n v="0.18"/>
    <n v="142.09"/>
    <s v="Debit Card"/>
    <s v="Gujarat"/>
    <x v="1"/>
    <x v="0"/>
    <s v="New"/>
  </r>
  <r>
    <s v="ORD100082"/>
    <x v="73"/>
    <s v="Rahul Kumar"/>
    <x v="5"/>
    <s v="Bookshelf"/>
    <x v="10"/>
    <n v="4"/>
    <n v="17000"/>
    <n v="0.15"/>
    <n v="1342.22"/>
    <s v="Wallet"/>
    <s v="Rajasthan"/>
    <x v="10"/>
    <x v="0"/>
    <s v="Returning"/>
  </r>
  <r>
    <s v="ORD100083"/>
    <x v="74"/>
    <s v="Karan Agarwal"/>
    <x v="5"/>
    <s v="Bed"/>
    <x v="27"/>
    <n v="1"/>
    <n v="24000"/>
    <n v="0.2"/>
    <n v="1907.41"/>
    <s v="Credit Card"/>
    <s v="Odisha"/>
    <x v="17"/>
    <x v="3"/>
    <s v="Returning"/>
  </r>
  <r>
    <s v="ORD100084"/>
    <x v="75"/>
    <s v="Pooja Kumawat"/>
    <x v="0"/>
    <s v="Cookware Set"/>
    <x v="5"/>
    <n v="3"/>
    <n v="8190"/>
    <n v="0.22"/>
    <n v="1146.93"/>
    <s v="Net Banking"/>
    <s v="Madhya Pradesh"/>
    <x v="0"/>
    <x v="0"/>
    <s v="New"/>
  </r>
  <r>
    <s v="ORD100085"/>
    <x v="76"/>
    <s v="Sneha Sharma"/>
    <x v="0"/>
    <s v="Coffee Maker"/>
    <x v="4"/>
    <n v="1"/>
    <n v="4250"/>
    <n v="0.15"/>
    <n v="346.42"/>
    <s v="Debit Card"/>
    <s v="Punjab"/>
    <x v="15"/>
    <x v="2"/>
    <s v="New"/>
  </r>
  <r>
    <s v="ORD100086"/>
    <x v="77"/>
    <s v="Rohit Meena"/>
    <x v="1"/>
    <s v="Keyboard"/>
    <x v="6"/>
    <n v="1"/>
    <n v="1566"/>
    <n v="0.13"/>
    <n v="187.91"/>
    <s v="Net Banking"/>
    <s v="Tamil Nadu"/>
    <x v="19"/>
    <x v="1"/>
    <s v="New"/>
  </r>
  <r>
    <s v="ORD100087"/>
    <x v="78"/>
    <s v="Nisha Yadav"/>
    <x v="4"/>
    <s v="Yoga Mat"/>
    <x v="17"/>
    <n v="2"/>
    <n v="1476"/>
    <n v="0.18"/>
    <n v="279.99"/>
    <s v="Wallet"/>
    <s v="Maharashtra"/>
    <x v="4"/>
    <x v="0"/>
    <s v="Returning"/>
  </r>
  <r>
    <s v="ORD100088"/>
    <x v="79"/>
    <s v="Sahil Gupta"/>
    <x v="5"/>
    <s v="Study Table"/>
    <x v="28"/>
    <n v="1"/>
    <n v="5460"/>
    <n v="0.16"/>
    <n v="525.89"/>
    <s v="Cash on Delivery"/>
    <s v="Tamil Nadu"/>
    <x v="19"/>
    <x v="1"/>
    <s v="Returning"/>
  </r>
  <r>
    <s v="ORD100089"/>
    <x v="64"/>
    <s v="Nisha Jain"/>
    <x v="3"/>
    <s v="Skin Care Kit"/>
    <x v="20"/>
    <n v="3"/>
    <n v="5676"/>
    <n v="0.14000000000000001"/>
    <n v="829.74"/>
    <s v="Net Banking"/>
    <s v="West Bengal"/>
    <x v="18"/>
    <x v="3"/>
    <s v="Returning"/>
  </r>
  <r>
    <s v="ORD100090"/>
    <x v="80"/>
    <s v="Simran Singh"/>
    <x v="3"/>
    <s v="Face Wash"/>
    <x v="3"/>
    <n v="2"/>
    <n v="756"/>
    <n v="0.16"/>
    <n v="123.22"/>
    <s v="Credit Card"/>
    <s v="Tamil Nadu"/>
    <x v="19"/>
    <x v="1"/>
    <s v="New"/>
  </r>
  <r>
    <s v="ORD100091"/>
    <x v="81"/>
    <s v="Priya Kumawat"/>
    <x v="0"/>
    <s v="Cookware Set"/>
    <x v="5"/>
    <n v="4"/>
    <n v="11340"/>
    <n v="0.19"/>
    <n v="1435.5"/>
    <s v="Cash on Delivery"/>
    <s v="Uttar Pradesh"/>
    <x v="6"/>
    <x v="2"/>
    <s v="Returning"/>
  </r>
  <r>
    <s v="ORD100092"/>
    <x v="82"/>
    <s v="Arjun Verma"/>
    <x v="6"/>
    <s v="Data Analytics Book"/>
    <x v="12"/>
    <n v="3"/>
    <n v="2808"/>
    <n v="0.22"/>
    <n v="580.72"/>
    <s v="Wallet"/>
    <s v="Haryana"/>
    <x v="8"/>
    <x v="2"/>
    <s v="New"/>
  </r>
  <r>
    <s v="ORD100093"/>
    <x v="83"/>
    <s v="Ananya Jain"/>
    <x v="2"/>
    <s v="Women Kurti"/>
    <x v="26"/>
    <n v="3"/>
    <n v="3402"/>
    <n v="0.19"/>
    <n v="606.38"/>
    <s v="Cash on Delivery"/>
    <s v="Odisha"/>
    <x v="17"/>
    <x v="3"/>
    <s v="New"/>
  </r>
  <r>
    <s v="ORD100094"/>
    <x v="84"/>
    <s v="Aarav Meena"/>
    <x v="0"/>
    <s v="Mixer Grinder"/>
    <x v="0"/>
    <n v="2"/>
    <n v="7290"/>
    <n v="0.19"/>
    <n v="821.87"/>
    <s v="Cash on Delivery"/>
    <s v="Uttar Pradesh"/>
    <x v="16"/>
    <x v="2"/>
    <s v="New"/>
  </r>
  <r>
    <s v="ORD100095"/>
    <x v="12"/>
    <s v="Vikas Singh"/>
    <x v="2"/>
    <s v="Jacket"/>
    <x v="2"/>
    <n v="5"/>
    <n v="11340"/>
    <n v="0.19"/>
    <n v="2105.88"/>
    <s v="Debit Card"/>
    <s v="Kerala"/>
    <x v="14"/>
    <x v="1"/>
    <s v="Returning"/>
  </r>
  <r>
    <s v="ORD100096"/>
    <x v="85"/>
    <s v="Isha Singh"/>
    <x v="2"/>
    <s v="Sneakers"/>
    <x v="29"/>
    <n v="4"/>
    <n v="11040"/>
    <n v="0.08"/>
    <n v="1751.41"/>
    <s v="UPI"/>
    <s v="Rajasthan"/>
    <x v="10"/>
    <x v="0"/>
    <s v="Returning"/>
  </r>
  <r>
    <s v="ORD100097"/>
    <x v="86"/>
    <s v="Neha Meena"/>
    <x v="3"/>
    <s v="Perfume"/>
    <x v="18"/>
    <n v="1"/>
    <n v="1584"/>
    <n v="0.12"/>
    <n v="321.42"/>
    <s v="UPI"/>
    <s v="Goa"/>
    <x v="13"/>
    <x v="0"/>
    <s v="New"/>
  </r>
  <r>
    <s v="ORD100098"/>
    <x v="43"/>
    <s v="Nisha Meena"/>
    <x v="3"/>
    <s v="Perfume"/>
    <x v="18"/>
    <n v="3"/>
    <n v="4050"/>
    <n v="0.25"/>
    <n v="775.5"/>
    <s v="Wallet"/>
    <s v="Bihar"/>
    <x v="5"/>
    <x v="3"/>
    <s v="New"/>
  </r>
  <r>
    <s v="ORD100099"/>
    <x v="14"/>
    <s v="Simran Sharma"/>
    <x v="0"/>
    <s v="Air Fryer"/>
    <x v="15"/>
    <n v="3"/>
    <n v="18330"/>
    <n v="0.06"/>
    <n v="2520.81"/>
    <s v="Credit Card"/>
    <s v="Madhya Pradesh"/>
    <x v="0"/>
    <x v="0"/>
    <s v="Returning"/>
  </r>
  <r>
    <s v="ORD100100"/>
    <x v="87"/>
    <s v="Isha Kumar"/>
    <x v="1"/>
    <s v="Headphones"/>
    <x v="30"/>
    <n v="1"/>
    <n v="2175"/>
    <n v="0.13"/>
    <n v="292.45"/>
    <s v="Credit Card"/>
    <s v="Rajasthan"/>
    <x v="7"/>
    <x v="0"/>
    <s v="Returning"/>
  </r>
  <r>
    <s v="ORD100101"/>
    <x v="88"/>
    <s v="Simran Kumar"/>
    <x v="3"/>
    <s v="Perfume"/>
    <x v="18"/>
    <n v="1"/>
    <n v="1530"/>
    <n v="0.15"/>
    <n v="329.88"/>
    <s v="Debit Card"/>
    <s v="Rajasthan"/>
    <x v="7"/>
    <x v="0"/>
    <s v="Returning"/>
  </r>
  <r>
    <s v="ORD100102"/>
    <x v="56"/>
    <s v="Karan Meena"/>
    <x v="6"/>
    <s v="Data Analytics Book"/>
    <x v="12"/>
    <n v="1"/>
    <n v="972"/>
    <n v="0.19"/>
    <n v="208.45"/>
    <s v="Credit Card"/>
    <s v="Punjab"/>
    <x v="15"/>
    <x v="2"/>
    <s v="New"/>
  </r>
  <r>
    <s v="ORD100103"/>
    <x v="89"/>
    <s v="Ananya Jain"/>
    <x v="0"/>
    <s v="Air Fryer"/>
    <x v="15"/>
    <n v="2"/>
    <n v="12220"/>
    <n v="0.06"/>
    <n v="1191.29"/>
    <s v="Credit Card"/>
    <s v="Kerala"/>
    <x v="14"/>
    <x v="1"/>
    <s v="New"/>
  </r>
  <r>
    <s v="ORD100104"/>
    <x v="30"/>
    <s v="Simran Singh"/>
    <x v="3"/>
    <s v="Skin Care Kit"/>
    <x v="20"/>
    <n v="1"/>
    <n v="1958"/>
    <n v="0.11"/>
    <n v="273.32"/>
    <s v="Debit Card"/>
    <s v="Rajasthan"/>
    <x v="9"/>
    <x v="0"/>
    <s v="Returning"/>
  </r>
  <r>
    <s v="ORD100105"/>
    <x v="90"/>
    <s v="Nisha Gupta"/>
    <x v="4"/>
    <s v="Cricket Bat"/>
    <x v="16"/>
    <n v="4"/>
    <n v="12880"/>
    <n v="0.08"/>
    <n v="1756.54"/>
    <s v="Credit Card"/>
    <s v="Goa"/>
    <x v="13"/>
    <x v="0"/>
    <s v="Returning"/>
  </r>
  <r>
    <s v="ORD100106"/>
    <x v="91"/>
    <s v="Isha Kumawat"/>
    <x v="2"/>
    <s v="Jeans"/>
    <x v="8"/>
    <n v="1"/>
    <n v="1332"/>
    <n v="0.26"/>
    <n v="147.05000000000001"/>
    <s v="Credit Card"/>
    <s v="Haryana"/>
    <x v="8"/>
    <x v="2"/>
    <s v="Returning"/>
  </r>
  <r>
    <s v="ORD100107"/>
    <x v="92"/>
    <s v="Aman Agarwal"/>
    <x v="2"/>
    <s v="Women Kurti"/>
    <x v="26"/>
    <n v="2"/>
    <n v="2128"/>
    <n v="0.24"/>
    <n v="465.58"/>
    <s v="Credit Card"/>
    <s v="Gujarat"/>
    <x v="1"/>
    <x v="0"/>
    <s v="Returning"/>
  </r>
  <r>
    <s v="ORD100108"/>
    <x v="93"/>
    <s v="Sahil Verma"/>
    <x v="6"/>
    <s v="Programming Book"/>
    <x v="13"/>
    <n v="1"/>
    <n v="720"/>
    <n v="0.2"/>
    <n v="83.19"/>
    <s v="Net Banking"/>
    <s v="West Bengal"/>
    <x v="18"/>
    <x v="3"/>
    <s v="Returning"/>
  </r>
  <r>
    <s v="ORD100109"/>
    <x v="94"/>
    <s v="Rohit Jain"/>
    <x v="5"/>
    <s v="Sofa"/>
    <x v="31"/>
    <n v="4"/>
    <n v="78400"/>
    <n v="0.3"/>
    <n v="7417.26"/>
    <s v="Credit Card"/>
    <s v="Telangana"/>
    <x v="11"/>
    <x v="1"/>
    <s v="Returning"/>
  </r>
  <r>
    <s v="ORD100110"/>
    <x v="95"/>
    <s v="Ananya Kumar"/>
    <x v="1"/>
    <s v="Laptop"/>
    <x v="25"/>
    <n v="1"/>
    <n v="48950"/>
    <n v="0.11"/>
    <n v="5601.66"/>
    <s v="Debit Card"/>
    <s v="Uttar Pradesh"/>
    <x v="6"/>
    <x v="2"/>
    <s v="Returning"/>
  </r>
  <r>
    <s v="ORD100111"/>
    <x v="96"/>
    <s v="Isha Yadav"/>
    <x v="6"/>
    <s v="Business Book"/>
    <x v="19"/>
    <n v="2"/>
    <n v="994"/>
    <n v="0.28999999999999998"/>
    <n v="181.29"/>
    <s v="UPI"/>
    <s v="Maharashtra"/>
    <x v="12"/>
    <x v="0"/>
    <s v="Returning"/>
  </r>
  <r>
    <s v="ORD100112"/>
    <x v="97"/>
    <s v="Arjun Verma"/>
    <x v="0"/>
    <s v="Coffee Maker"/>
    <x v="4"/>
    <n v="1"/>
    <n v="4450"/>
    <n v="0.11"/>
    <n v="878.7"/>
    <s v="UPI"/>
    <s v="Haryana"/>
    <x v="8"/>
    <x v="2"/>
    <s v="New"/>
  </r>
  <r>
    <s v="ORD100113"/>
    <x v="98"/>
    <s v="Aarav Agarwal"/>
    <x v="2"/>
    <s v="Jacket"/>
    <x v="2"/>
    <n v="3"/>
    <n v="6468"/>
    <n v="0.23"/>
    <n v="1003.44"/>
    <s v="Net Banking"/>
    <s v="Telangana"/>
    <x v="11"/>
    <x v="1"/>
    <s v="New"/>
  </r>
  <r>
    <s v="ORD100114"/>
    <x v="33"/>
    <s v="Sahil Agarwal"/>
    <x v="5"/>
    <s v="Sofa"/>
    <x v="31"/>
    <n v="3"/>
    <n v="65520"/>
    <n v="0.22"/>
    <n v="8658.7099999999991"/>
    <s v="Net Banking"/>
    <s v="Telangana"/>
    <x v="11"/>
    <x v="1"/>
    <s v="New"/>
  </r>
  <r>
    <s v="ORD100115"/>
    <x v="99"/>
    <s v="Riya Agarwal"/>
    <x v="0"/>
    <s v="Mixer Grinder"/>
    <x v="0"/>
    <n v="5"/>
    <n v="19125"/>
    <n v="0.15"/>
    <n v="2303.38"/>
    <s v="UPI"/>
    <s v="Uttar Pradesh"/>
    <x v="16"/>
    <x v="2"/>
    <s v="Returning"/>
  </r>
  <r>
    <s v="ORD100116"/>
    <x v="63"/>
    <s v="Aman Gupta"/>
    <x v="5"/>
    <s v="Office Chair"/>
    <x v="32"/>
    <n v="1"/>
    <n v="6150"/>
    <n v="0.18"/>
    <n v="904.28"/>
    <s v="Debit Card"/>
    <s v="Goa"/>
    <x v="13"/>
    <x v="0"/>
    <s v="Returning"/>
  </r>
  <r>
    <s v="ORD100117"/>
    <x v="100"/>
    <s v="Sahil Yadav"/>
    <x v="5"/>
    <s v="Bed"/>
    <x v="27"/>
    <n v="3"/>
    <n v="74700"/>
    <n v="0.17"/>
    <n v="6145.62"/>
    <s v="Debit Card"/>
    <s v="Rajasthan"/>
    <x v="9"/>
    <x v="0"/>
    <s v="Returning"/>
  </r>
  <r>
    <s v="ORD100118"/>
    <x v="42"/>
    <s v="Neha Jain"/>
    <x v="2"/>
    <s v="Jeans"/>
    <x v="8"/>
    <n v="3"/>
    <n v="4374"/>
    <n v="0.19"/>
    <n v="576.30999999999995"/>
    <s v="Credit Card"/>
    <s v="Bihar"/>
    <x v="5"/>
    <x v="3"/>
    <s v="New"/>
  </r>
  <r>
    <s v="ORD100119"/>
    <x v="101"/>
    <s v="Kavya Kumawat"/>
    <x v="1"/>
    <s v="Smartphone"/>
    <x v="22"/>
    <n v="3"/>
    <n v="65250"/>
    <n v="0.13"/>
    <n v="6492.57"/>
    <s v="Net Banking"/>
    <s v="Bihar"/>
    <x v="5"/>
    <x v="3"/>
    <s v="Returning"/>
  </r>
  <r>
    <s v="ORD100120"/>
    <x v="89"/>
    <s v="Aditya Yadav"/>
    <x v="3"/>
    <s v="Skin Care Kit"/>
    <x v="20"/>
    <n v="1"/>
    <n v="1914"/>
    <n v="0.13"/>
    <n v="187.35"/>
    <s v="Cash on Delivery"/>
    <s v="Karnataka"/>
    <x v="2"/>
    <x v="1"/>
    <s v="New"/>
  </r>
  <r>
    <s v="ORD100121"/>
    <x v="102"/>
    <s v="Sahil Agarwal"/>
    <x v="0"/>
    <s v="Bedsheet"/>
    <x v="21"/>
    <n v="2"/>
    <n v="2136"/>
    <n v="0.11"/>
    <n v="347.11"/>
    <s v="Cash on Delivery"/>
    <s v="Kerala"/>
    <x v="14"/>
    <x v="1"/>
    <s v="Returning"/>
  </r>
  <r>
    <s v="ORD100122"/>
    <x v="103"/>
    <s v="Rahul Agarwal"/>
    <x v="0"/>
    <s v="Mixer Grinder"/>
    <x v="0"/>
    <n v="4"/>
    <n v="15660"/>
    <n v="0.13"/>
    <n v="1690.04"/>
    <s v="Cash on Delivery"/>
    <s v="Maharashtra"/>
    <x v="4"/>
    <x v="0"/>
    <s v="New"/>
  </r>
  <r>
    <s v="ORD100123"/>
    <x v="104"/>
    <s v="Rahul Gupta"/>
    <x v="2"/>
    <s v="Sneakers"/>
    <x v="29"/>
    <n v="1"/>
    <n v="2370"/>
    <n v="0.21"/>
    <n v="475.25"/>
    <s v="Wallet"/>
    <s v="Bihar"/>
    <x v="5"/>
    <x v="3"/>
    <s v="Returning"/>
  </r>
  <r>
    <s v="ORD100124"/>
    <x v="105"/>
    <s v="Neha Kumar"/>
    <x v="3"/>
    <s v="Face Wash"/>
    <x v="3"/>
    <n v="4"/>
    <n v="1404"/>
    <n v="0.22"/>
    <n v="230.86"/>
    <s v="Net Banking"/>
    <s v="Gujarat"/>
    <x v="1"/>
    <x v="0"/>
    <s v="Returning"/>
  </r>
  <r>
    <s v="ORD100125"/>
    <x v="106"/>
    <s v="Sneha Yadav"/>
    <x v="5"/>
    <s v="Office Chair"/>
    <x v="32"/>
    <n v="1"/>
    <n v="6000"/>
    <n v="0.2"/>
    <n v="1148.08"/>
    <s v="Debit Card"/>
    <s v="Uttar Pradesh"/>
    <x v="16"/>
    <x v="2"/>
    <s v="Returning"/>
  </r>
  <r>
    <s v="ORD100126"/>
    <x v="107"/>
    <s v="Riya Sharma"/>
    <x v="1"/>
    <s v="Tablet"/>
    <x v="1"/>
    <n v="1"/>
    <n v="16560"/>
    <n v="0.08"/>
    <n v="1530.3"/>
    <s v="UPI"/>
    <s v="Tamil Nadu"/>
    <x v="19"/>
    <x v="1"/>
    <s v="New"/>
  </r>
  <r>
    <s v="ORD100127"/>
    <x v="94"/>
    <s v="Arjun Gupta"/>
    <x v="5"/>
    <s v="Bookshelf"/>
    <x v="10"/>
    <n v="4"/>
    <n v="17600"/>
    <n v="0.12"/>
    <n v="1620.94"/>
    <s v="Debit Card"/>
    <s v="Haryana"/>
    <x v="8"/>
    <x v="2"/>
    <s v="New"/>
  </r>
  <r>
    <s v="ORD100128"/>
    <x v="108"/>
    <s v="Vivaan Kumawat"/>
    <x v="0"/>
    <s v="Mixer Grinder"/>
    <x v="0"/>
    <n v="3"/>
    <n v="11610"/>
    <n v="0.14000000000000001"/>
    <n v="1575.95"/>
    <s v="Cash on Delivery"/>
    <s v="Rajasthan"/>
    <x v="9"/>
    <x v="0"/>
    <s v="New"/>
  </r>
  <r>
    <s v="ORD100129"/>
    <x v="23"/>
    <s v="Rahul Kumawat"/>
    <x v="5"/>
    <s v="Dining Table"/>
    <x v="23"/>
    <n v="2"/>
    <n v="36080"/>
    <n v="0.18"/>
    <n v="4898.29"/>
    <s v="Credit Card"/>
    <s v="Madhya Pradesh"/>
    <x v="0"/>
    <x v="0"/>
    <s v="New"/>
  </r>
  <r>
    <s v="ORD100130"/>
    <x v="109"/>
    <s v="Karan Kumar"/>
    <x v="3"/>
    <s v="Shampoo"/>
    <x v="33"/>
    <n v="1"/>
    <n v="526.5"/>
    <n v="0.19"/>
    <n v="93.53"/>
    <s v="Cash on Delivery"/>
    <s v="Punjab"/>
    <x v="15"/>
    <x v="2"/>
    <s v="New"/>
  </r>
  <r>
    <s v="ORD100131"/>
    <x v="110"/>
    <s v="Kavya Agarwal"/>
    <x v="2"/>
    <s v="Jacket"/>
    <x v="2"/>
    <n v="2"/>
    <n v="4256"/>
    <n v="0.24"/>
    <n v="886.49"/>
    <s v="Cash on Delivery"/>
    <s v="Gujarat"/>
    <x v="1"/>
    <x v="0"/>
    <s v="Returning"/>
  </r>
  <r>
    <s v="ORD100132"/>
    <x v="56"/>
    <s v="Neha Kumawat"/>
    <x v="4"/>
    <s v="Football"/>
    <x v="34"/>
    <n v="3"/>
    <n v="2916"/>
    <n v="0.19"/>
    <n v="455.44"/>
    <s v="Cash on Delivery"/>
    <s v="Kerala"/>
    <x v="14"/>
    <x v="1"/>
    <s v="Returning"/>
  </r>
  <r>
    <s v="ORD100133"/>
    <x v="111"/>
    <s v="Ananya Yadav"/>
    <x v="5"/>
    <s v="Dining Table"/>
    <x v="23"/>
    <n v="1"/>
    <n v="18700"/>
    <n v="0.15"/>
    <n v="2129.19"/>
    <s v="Cash on Delivery"/>
    <s v="Rajasthan"/>
    <x v="9"/>
    <x v="0"/>
    <s v="Returning"/>
  </r>
  <r>
    <s v="ORD100134"/>
    <x v="112"/>
    <s v="Aditya Meena"/>
    <x v="4"/>
    <s v="Badminton Racket"/>
    <x v="9"/>
    <n v="1"/>
    <n v="1440"/>
    <n v="0.2"/>
    <n v="164.11"/>
    <s v="Net Banking"/>
    <s v="Maharashtra"/>
    <x v="12"/>
    <x v="0"/>
    <s v="Returning"/>
  </r>
  <r>
    <s v="ORD100135"/>
    <x v="113"/>
    <s v="Nisha Verma"/>
    <x v="1"/>
    <s v="Headphones"/>
    <x v="30"/>
    <n v="1"/>
    <n v="2050"/>
    <n v="0.18"/>
    <n v="337.07"/>
    <s v="Wallet"/>
    <s v="Rajasthan"/>
    <x v="10"/>
    <x v="0"/>
    <s v="Returning"/>
  </r>
  <r>
    <s v="ORD100136"/>
    <x v="114"/>
    <s v="Riya Kumar"/>
    <x v="3"/>
    <s v="Skin Care Kit"/>
    <x v="20"/>
    <n v="2"/>
    <n v="3564"/>
    <n v="0.19"/>
    <n v="723.97"/>
    <s v="Net Banking"/>
    <s v="West Bengal"/>
    <x v="18"/>
    <x v="3"/>
    <s v="New"/>
  </r>
  <r>
    <s v="ORD100137"/>
    <x v="115"/>
    <s v="Aarav Meena"/>
    <x v="4"/>
    <s v="Badminton Racket"/>
    <x v="9"/>
    <n v="1"/>
    <n v="1512"/>
    <n v="0.16"/>
    <n v="180.5"/>
    <s v="UPI"/>
    <s v="Maharashtra"/>
    <x v="4"/>
    <x v="0"/>
    <s v="New"/>
  </r>
  <r>
    <s v="ORD100138"/>
    <x v="116"/>
    <s v="Pooja Agarwal"/>
    <x v="0"/>
    <s v="Mixer Grinder"/>
    <x v="0"/>
    <n v="3"/>
    <n v="11880"/>
    <n v="0.12"/>
    <n v="1804.9"/>
    <s v="Wallet"/>
    <s v="Rajasthan"/>
    <x v="9"/>
    <x v="0"/>
    <s v="Returning"/>
  </r>
  <r>
    <s v="ORD100139"/>
    <x v="117"/>
    <s v="Neha Singh"/>
    <x v="3"/>
    <s v="Perfume"/>
    <x v="18"/>
    <n v="2"/>
    <n v="3240"/>
    <n v="0.1"/>
    <n v="569.70000000000005"/>
    <s v="Credit Card"/>
    <s v="Gujarat"/>
    <x v="1"/>
    <x v="0"/>
    <s v="Returning"/>
  </r>
  <r>
    <s v="ORD100140"/>
    <x v="118"/>
    <s v="Aditya Sharma"/>
    <x v="2"/>
    <s v="Sneakers"/>
    <x v="29"/>
    <n v="1"/>
    <n v="2490"/>
    <n v="0.17"/>
    <n v="467.95"/>
    <s v="Cash on Delivery"/>
    <s v="Punjab"/>
    <x v="15"/>
    <x v="2"/>
    <s v="New"/>
  </r>
  <r>
    <s v="ORD100141"/>
    <x v="119"/>
    <s v="Isha Gupta"/>
    <x v="0"/>
    <s v="Mixer Grinder"/>
    <x v="0"/>
    <n v="1"/>
    <n v="3780"/>
    <n v="0.16"/>
    <n v="617"/>
    <s v="Net Banking"/>
    <s v="West Bengal"/>
    <x v="18"/>
    <x v="3"/>
    <s v="Returning"/>
  </r>
  <r>
    <s v="ORD100142"/>
    <x v="120"/>
    <s v="Aditya Verma"/>
    <x v="0"/>
    <s v="Mixer Grinder"/>
    <x v="0"/>
    <n v="4"/>
    <n v="16380"/>
    <n v="0.09"/>
    <n v="2377.62"/>
    <s v="Wallet"/>
    <s v="Haryana"/>
    <x v="8"/>
    <x v="2"/>
    <s v="New"/>
  </r>
  <r>
    <s v="ORD100143"/>
    <x v="121"/>
    <s v="Vivaan Jain"/>
    <x v="5"/>
    <s v="Bookshelf"/>
    <x v="10"/>
    <n v="1"/>
    <n v="4250"/>
    <n v="0.15"/>
    <n v="209.96"/>
    <s v="Debit Card"/>
    <s v="Gujarat"/>
    <x v="1"/>
    <x v="0"/>
    <s v="Returning"/>
  </r>
  <r>
    <s v="ORD100144"/>
    <x v="122"/>
    <s v="Aarav Meena"/>
    <x v="2"/>
    <s v="Women Kurti"/>
    <x v="26"/>
    <n v="1"/>
    <n v="1134"/>
    <n v="0.19"/>
    <n v="204.03"/>
    <s v="Wallet"/>
    <s v="Odisha"/>
    <x v="17"/>
    <x v="3"/>
    <s v="Returning"/>
  </r>
  <r>
    <s v="ORD100145"/>
    <x v="123"/>
    <s v="Nisha Sharma"/>
    <x v="4"/>
    <s v="Badminton Racket"/>
    <x v="9"/>
    <n v="1"/>
    <n v="1494"/>
    <n v="0.17"/>
    <n v="147.84"/>
    <s v="UPI"/>
    <s v="Rajasthan"/>
    <x v="10"/>
    <x v="0"/>
    <s v="Returning"/>
  </r>
  <r>
    <s v="ORD100146"/>
    <x v="86"/>
    <s v="Aarav Verma"/>
    <x v="2"/>
    <s v="Women Kurti"/>
    <x v="26"/>
    <n v="3"/>
    <n v="3318"/>
    <n v="0.21"/>
    <n v="542.27"/>
    <s v="Credit Card"/>
    <s v="Odisha"/>
    <x v="17"/>
    <x v="3"/>
    <s v="Returning"/>
  </r>
  <r>
    <s v="ORD100147"/>
    <x v="124"/>
    <s v="Sneha Kumar"/>
    <x v="5"/>
    <s v="Bookshelf"/>
    <x v="10"/>
    <n v="1"/>
    <n v="4100"/>
    <n v="0.18"/>
    <n v="541.23"/>
    <s v="UPI"/>
    <s v="Haryana"/>
    <x v="8"/>
    <x v="2"/>
    <s v="Returning"/>
  </r>
  <r>
    <s v="ORD100148"/>
    <x v="125"/>
    <s v="Priya Jain"/>
    <x v="3"/>
    <s v="Perfume"/>
    <x v="18"/>
    <n v="2"/>
    <n v="2880"/>
    <n v="0.2"/>
    <n v="508.66"/>
    <s v="Debit Card"/>
    <s v="Delhi"/>
    <x v="3"/>
    <x v="2"/>
    <s v="Returning"/>
  </r>
  <r>
    <s v="ORD100149"/>
    <x v="126"/>
    <s v="Kavya Verma"/>
    <x v="2"/>
    <s v="Women Kurti"/>
    <x v="26"/>
    <n v="5"/>
    <n v="5740"/>
    <n v="0.18"/>
    <n v="1087.1400000000001"/>
    <s v="Wallet"/>
    <s v="Uttar Pradesh"/>
    <x v="16"/>
    <x v="2"/>
    <s v="New"/>
  </r>
  <r>
    <s v="ORD100150"/>
    <x v="127"/>
    <s v="Riya Meena"/>
    <x v="2"/>
    <s v="Jeans"/>
    <x v="8"/>
    <n v="4"/>
    <n v="5976"/>
    <n v="0.17"/>
    <n v="1139.05"/>
    <s v="Cash on Delivery"/>
    <s v="Odisha"/>
    <x v="17"/>
    <x v="3"/>
    <s v="Returning"/>
  </r>
  <r>
    <s v="ORD100151"/>
    <x v="128"/>
    <s v="Karan Yadav"/>
    <x v="4"/>
    <s v="Badminton Racket"/>
    <x v="9"/>
    <n v="1"/>
    <n v="1602"/>
    <n v="0.11"/>
    <n v="288.3"/>
    <s v="Debit Card"/>
    <s v="Haryana"/>
    <x v="8"/>
    <x v="2"/>
    <s v="New"/>
  </r>
  <r>
    <s v="ORD100152"/>
    <x v="129"/>
    <s v="Sahil Singh"/>
    <x v="3"/>
    <s v="Skin Care Kit"/>
    <x v="20"/>
    <n v="2"/>
    <n v="3564"/>
    <n v="0.19"/>
    <n v="560.37"/>
    <s v="Net Banking"/>
    <s v="Goa"/>
    <x v="13"/>
    <x v="0"/>
    <s v="Returning"/>
  </r>
  <r>
    <s v="ORD100153"/>
    <x v="1"/>
    <s v="Priya Verma"/>
    <x v="4"/>
    <s v="Badminton Racket"/>
    <x v="9"/>
    <n v="4"/>
    <n v="5616"/>
    <n v="0.22"/>
    <n v="777.97"/>
    <s v="Credit Card"/>
    <s v="Maharashtra"/>
    <x v="4"/>
    <x v="0"/>
    <s v="Returning"/>
  </r>
  <r>
    <s v="ORD100154"/>
    <x v="130"/>
    <s v="Arjun Meena"/>
    <x v="5"/>
    <s v="Sofa"/>
    <x v="31"/>
    <n v="1"/>
    <n v="21000"/>
    <n v="0.25"/>
    <n v="2824.55"/>
    <s v="UPI"/>
    <s v="Tamil Nadu"/>
    <x v="19"/>
    <x v="1"/>
    <s v="New"/>
  </r>
  <r>
    <s v="ORD100155"/>
    <x v="131"/>
    <s v="Karan Verma"/>
    <x v="4"/>
    <s v="Cricket Bat"/>
    <x v="16"/>
    <n v="3"/>
    <n v="9555"/>
    <n v="0.09"/>
    <n v="1778.26"/>
    <s v="Net Banking"/>
    <s v="Rajasthan"/>
    <x v="9"/>
    <x v="0"/>
    <s v="Returning"/>
  </r>
  <r>
    <s v="ORD100156"/>
    <x v="132"/>
    <s v="Rohit Agarwal"/>
    <x v="5"/>
    <s v="Bed"/>
    <x v="27"/>
    <n v="3"/>
    <n v="67500"/>
    <n v="0.25"/>
    <n v="7567.98"/>
    <s v="Wallet"/>
    <s v="Delhi"/>
    <x v="3"/>
    <x v="2"/>
    <s v="New"/>
  </r>
  <r>
    <s v="ORD100157"/>
    <x v="74"/>
    <s v="Vivaan Singh"/>
    <x v="1"/>
    <s v="Smart Watch"/>
    <x v="7"/>
    <n v="1"/>
    <n v="4450"/>
    <n v="0.11"/>
    <n v="617.04999999999995"/>
    <s v="Debit Card"/>
    <s v="Bihar"/>
    <x v="5"/>
    <x v="3"/>
    <s v="Returning"/>
  </r>
  <r>
    <s v="ORD100158"/>
    <x v="114"/>
    <s v="Aditya Meena"/>
    <x v="0"/>
    <s v="Air Fryer"/>
    <x v="15"/>
    <n v="5"/>
    <n v="26325"/>
    <n v="0.19"/>
    <n v="2770.72"/>
    <s v="UPI"/>
    <s v="Haryana"/>
    <x v="8"/>
    <x v="2"/>
    <s v="Returning"/>
  </r>
  <r>
    <s v="ORD100159"/>
    <x v="133"/>
    <s v="Nisha Jain"/>
    <x v="5"/>
    <s v="Sofa"/>
    <x v="31"/>
    <n v="1"/>
    <n v="23240"/>
    <n v="0.17"/>
    <n v="1566"/>
    <s v="Net Banking"/>
    <s v="Uttar Pradesh"/>
    <x v="6"/>
    <x v="2"/>
    <s v="Returning"/>
  </r>
  <r>
    <s v="ORD100160"/>
    <x v="134"/>
    <s v="Priya Gupta"/>
    <x v="3"/>
    <s v="Perfume"/>
    <x v="18"/>
    <n v="2"/>
    <n v="3060"/>
    <n v="0.15"/>
    <n v="566.38"/>
    <s v="Wallet"/>
    <s v="Kerala"/>
    <x v="14"/>
    <x v="1"/>
    <s v="Returning"/>
  </r>
  <r>
    <s v="ORD100161"/>
    <x v="135"/>
    <s v="Vikas Gupta"/>
    <x v="3"/>
    <s v="Face Wash"/>
    <x v="3"/>
    <n v="1"/>
    <n v="360"/>
    <n v="0.2"/>
    <n v="55.49"/>
    <s v="UPI"/>
    <s v="Maharashtra"/>
    <x v="12"/>
    <x v="0"/>
    <s v="New"/>
  </r>
  <r>
    <s v="ORD100162"/>
    <x v="136"/>
    <s v="Simran Kumawat"/>
    <x v="2"/>
    <s v="Sneakers"/>
    <x v="29"/>
    <n v="1"/>
    <n v="2640"/>
    <n v="0.12"/>
    <n v="455.63"/>
    <s v="Credit Card"/>
    <s v="Uttar Pradesh"/>
    <x v="6"/>
    <x v="2"/>
    <s v="Returning"/>
  </r>
  <r>
    <s v="ORD100163"/>
    <x v="137"/>
    <s v="Rohit Verma"/>
    <x v="0"/>
    <s v="Air Fryer"/>
    <x v="15"/>
    <n v="1"/>
    <n v="5590"/>
    <n v="0.14000000000000001"/>
    <n v="523.59"/>
    <s v="Net Banking"/>
    <s v="Kerala"/>
    <x v="14"/>
    <x v="1"/>
    <s v="New"/>
  </r>
  <r>
    <s v="ORD100164"/>
    <x v="138"/>
    <s v="Karan Meena"/>
    <x v="2"/>
    <s v="Women Kurti"/>
    <x v="26"/>
    <n v="1"/>
    <n v="1120"/>
    <n v="0.2"/>
    <n v="212.05"/>
    <s v="UPI"/>
    <s v="Kerala"/>
    <x v="14"/>
    <x v="1"/>
    <s v="Returning"/>
  </r>
  <r>
    <s v="ORD100165"/>
    <x v="139"/>
    <s v="Karan Jain"/>
    <x v="3"/>
    <s v="Shampoo"/>
    <x v="33"/>
    <n v="3"/>
    <n v="1560"/>
    <n v="0.2"/>
    <n v="270.7"/>
    <s v="Net Banking"/>
    <s v="Odisha"/>
    <x v="17"/>
    <x v="3"/>
    <s v="Returning"/>
  </r>
  <r>
    <s v="ORD100166"/>
    <x v="140"/>
    <s v="Vikas Kumawat"/>
    <x v="1"/>
    <s v="Smartphone"/>
    <x v="22"/>
    <n v="1"/>
    <n v="23500"/>
    <n v="0.06"/>
    <n v="2896.97"/>
    <s v="UPI"/>
    <s v="Rajasthan"/>
    <x v="10"/>
    <x v="0"/>
    <s v="New"/>
  </r>
  <r>
    <s v="ORD100167"/>
    <x v="141"/>
    <s v="Kavya Agarwal"/>
    <x v="5"/>
    <s v="Dining Table"/>
    <x v="23"/>
    <n v="4"/>
    <n v="71280"/>
    <n v="0.19"/>
    <n v="6441.3"/>
    <s v="Wallet"/>
    <s v="Gujarat"/>
    <x v="1"/>
    <x v="0"/>
    <s v="Returning"/>
  </r>
  <r>
    <s v="ORD100168"/>
    <x v="142"/>
    <s v="Rohit Singh"/>
    <x v="5"/>
    <s v="Dining Table"/>
    <x v="23"/>
    <n v="4"/>
    <n v="69520"/>
    <n v="0.21"/>
    <n v="6966.9"/>
    <s v="Wallet"/>
    <s v="Rajasthan"/>
    <x v="10"/>
    <x v="0"/>
    <s v="New"/>
  </r>
  <r>
    <s v="ORD100169"/>
    <x v="139"/>
    <s v="Sneha Sharma"/>
    <x v="1"/>
    <s v="Keyboard"/>
    <x v="6"/>
    <n v="2"/>
    <n v="2916"/>
    <n v="0.19"/>
    <n v="221.84"/>
    <s v="UPI"/>
    <s v="Rajasthan"/>
    <x v="10"/>
    <x v="0"/>
    <s v="New"/>
  </r>
  <r>
    <s v="ORD100170"/>
    <x v="122"/>
    <s v="Aditya Meena"/>
    <x v="6"/>
    <s v="Business Book"/>
    <x v="19"/>
    <n v="3"/>
    <n v="1554"/>
    <n v="0.26"/>
    <n v="354.86"/>
    <s v="UPI"/>
    <s v="Odisha"/>
    <x v="17"/>
    <x v="3"/>
    <s v="New"/>
  </r>
  <r>
    <s v="ORD100171"/>
    <x v="34"/>
    <s v="Karan Kumar"/>
    <x v="3"/>
    <s v="Skin Care Kit"/>
    <x v="20"/>
    <n v="5"/>
    <n v="10010"/>
    <n v="0.09"/>
    <n v="1644.39"/>
    <s v="Debit Card"/>
    <s v="Maharashtra"/>
    <x v="4"/>
    <x v="0"/>
    <s v="Returning"/>
  </r>
  <r>
    <s v="ORD100172"/>
    <x v="143"/>
    <s v="Priya Gupta"/>
    <x v="0"/>
    <s v="Air Fryer"/>
    <x v="15"/>
    <n v="2"/>
    <n v="11570"/>
    <n v="0.11"/>
    <n v="1501.81"/>
    <s v="Debit Card"/>
    <s v="Uttar Pradesh"/>
    <x v="6"/>
    <x v="2"/>
    <s v="Returning"/>
  </r>
  <r>
    <s v="ORD100173"/>
    <x v="144"/>
    <s v="Pooja Meena"/>
    <x v="6"/>
    <s v="Programming Book"/>
    <x v="13"/>
    <n v="2"/>
    <n v="1494"/>
    <n v="0.17"/>
    <n v="232.16"/>
    <s v="Cash on Delivery"/>
    <s v="Tamil Nadu"/>
    <x v="19"/>
    <x v="1"/>
    <s v="New"/>
  </r>
  <r>
    <s v="ORD100174"/>
    <x v="91"/>
    <s v="Karan Kumawat"/>
    <x v="0"/>
    <s v="Cookware Set"/>
    <x v="5"/>
    <n v="1"/>
    <n v="3010"/>
    <n v="0.14000000000000001"/>
    <n v="332.09"/>
    <s v="Cash on Delivery"/>
    <s v="Uttar Pradesh"/>
    <x v="6"/>
    <x v="2"/>
    <s v="Returning"/>
  </r>
  <r>
    <s v="ORD100175"/>
    <x v="145"/>
    <s v="Aman Yadav"/>
    <x v="6"/>
    <s v="Novel"/>
    <x v="14"/>
    <n v="2"/>
    <n v="710"/>
    <n v="0.28999999999999998"/>
    <n v="140.66999999999999"/>
    <s v="Cash on Delivery"/>
    <s v="Rajasthan"/>
    <x v="10"/>
    <x v="0"/>
    <s v="Returning"/>
  </r>
  <r>
    <s v="ORD100176"/>
    <x v="146"/>
    <s v="Sahil Yadav"/>
    <x v="2"/>
    <s v="Men T-Shirt"/>
    <x v="24"/>
    <n v="2"/>
    <n v="1314"/>
    <n v="0.27"/>
    <n v="276.66000000000003"/>
    <s v="Credit Card"/>
    <s v="Tamil Nadu"/>
    <x v="19"/>
    <x v="1"/>
    <s v="Returning"/>
  </r>
  <r>
    <s v="ORD100177"/>
    <x v="1"/>
    <s v="Sahil Jain"/>
    <x v="0"/>
    <s v="Air Fryer"/>
    <x v="15"/>
    <n v="1"/>
    <n v="5525"/>
    <n v="0.15"/>
    <n v="566.20000000000005"/>
    <s v="Debit Card"/>
    <s v="Kerala"/>
    <x v="14"/>
    <x v="1"/>
    <s v="Returning"/>
  </r>
  <r>
    <s v="ORD100178"/>
    <x v="8"/>
    <s v="Aman Kumawat"/>
    <x v="0"/>
    <s v="Cookware Set"/>
    <x v="5"/>
    <n v="1"/>
    <n v="3045"/>
    <n v="0.13"/>
    <n v="620.04999999999995"/>
    <s v="Net Banking"/>
    <s v="Kerala"/>
    <x v="14"/>
    <x v="1"/>
    <s v="New"/>
  </r>
  <r>
    <s v="ORD100179"/>
    <x v="147"/>
    <s v="Aditya Kumar"/>
    <x v="2"/>
    <s v="Men T-Shirt"/>
    <x v="24"/>
    <n v="1"/>
    <n v="720"/>
    <n v="0.2"/>
    <n v="127.12"/>
    <s v="Cash on Delivery"/>
    <s v="Rajasthan"/>
    <x v="7"/>
    <x v="0"/>
    <s v="New"/>
  </r>
  <r>
    <s v="ORD100180"/>
    <x v="148"/>
    <s v="Sahil Agarwal"/>
    <x v="5"/>
    <s v="Dining Table"/>
    <x v="23"/>
    <n v="4"/>
    <n v="71280"/>
    <n v="0.19"/>
    <n v="7837.09"/>
    <s v="Net Banking"/>
    <s v="Rajasthan"/>
    <x v="7"/>
    <x v="0"/>
    <s v="Returning"/>
  </r>
  <r>
    <s v="ORD100181"/>
    <x v="149"/>
    <s v="Aditya Kumawat"/>
    <x v="5"/>
    <s v="Bookshelf"/>
    <x v="10"/>
    <n v="3"/>
    <n v="11850"/>
    <n v="0.21"/>
    <n v="1149.49"/>
    <s v="Credit Card"/>
    <s v="Maharashtra"/>
    <x v="4"/>
    <x v="0"/>
    <s v="Returning"/>
  </r>
  <r>
    <s v="ORD100182"/>
    <x v="96"/>
    <s v="Aman Verma"/>
    <x v="6"/>
    <s v="Data Analytics Book"/>
    <x v="12"/>
    <n v="1"/>
    <n v="1056"/>
    <n v="0.12"/>
    <n v="242.38"/>
    <s v="Debit Card"/>
    <s v="Rajasthan"/>
    <x v="10"/>
    <x v="0"/>
    <s v="New"/>
  </r>
  <r>
    <s v="ORD100183"/>
    <x v="110"/>
    <s v="Aman Verma"/>
    <x v="1"/>
    <s v="Smartphone"/>
    <x v="22"/>
    <n v="2"/>
    <n v="43500"/>
    <n v="0.13"/>
    <n v="3695.45"/>
    <s v="Wallet"/>
    <s v="Punjab"/>
    <x v="15"/>
    <x v="2"/>
    <s v="Returning"/>
  </r>
  <r>
    <s v="ORD100184"/>
    <x v="150"/>
    <s v="Aditya Meena"/>
    <x v="1"/>
    <s v="Tablet"/>
    <x v="1"/>
    <n v="2"/>
    <n v="31680"/>
    <n v="0.12"/>
    <n v="5026.46"/>
    <s v="Wallet"/>
    <s v="Rajasthan"/>
    <x v="9"/>
    <x v="0"/>
    <s v="Returning"/>
  </r>
  <r>
    <s v="ORD100185"/>
    <x v="150"/>
    <s v="Karan Meena"/>
    <x v="6"/>
    <s v="Novel"/>
    <x v="14"/>
    <n v="2"/>
    <n v="740"/>
    <n v="0.26"/>
    <n v="130.97"/>
    <s v="Credit Card"/>
    <s v="Karnataka"/>
    <x v="2"/>
    <x v="1"/>
    <s v="New"/>
  </r>
  <r>
    <s v="ORD100186"/>
    <x v="50"/>
    <s v="Kavya Sharma"/>
    <x v="0"/>
    <s v="Bedsheet"/>
    <x v="21"/>
    <n v="1"/>
    <n v="1032"/>
    <n v="0.14000000000000001"/>
    <n v="167.28"/>
    <s v="Cash on Delivery"/>
    <s v="Maharashtra"/>
    <x v="12"/>
    <x v="0"/>
    <s v="Returning"/>
  </r>
  <r>
    <s v="ORD100187"/>
    <x v="14"/>
    <s v="Aarav Agarwal"/>
    <x v="2"/>
    <s v="Men T-Shirt"/>
    <x v="24"/>
    <n v="2"/>
    <n v="1458"/>
    <n v="0.19"/>
    <n v="299.81"/>
    <s v="UPI"/>
    <s v="Delhi"/>
    <x v="3"/>
    <x v="2"/>
    <s v="Returning"/>
  </r>
  <r>
    <s v="ORD100188"/>
    <x v="151"/>
    <s v="Kavya Meena"/>
    <x v="5"/>
    <s v="Bed"/>
    <x v="27"/>
    <n v="2"/>
    <n v="51000"/>
    <n v="0.15"/>
    <n v="3455.57"/>
    <s v="UPI"/>
    <s v="Rajasthan"/>
    <x v="9"/>
    <x v="0"/>
    <s v="Returning"/>
  </r>
  <r>
    <s v="ORD100189"/>
    <x v="152"/>
    <s v="Vivaan Agarwal"/>
    <x v="1"/>
    <s v="Tablet"/>
    <x v="1"/>
    <n v="2"/>
    <n v="32040"/>
    <n v="0.11"/>
    <n v="3447.29"/>
    <s v="Wallet"/>
    <s v="Kerala"/>
    <x v="14"/>
    <x v="1"/>
    <s v="New"/>
  </r>
  <r>
    <s v="ORD100190"/>
    <x v="153"/>
    <s v="Neha Meena"/>
    <x v="6"/>
    <s v="Data Analytics Book"/>
    <x v="12"/>
    <n v="2"/>
    <n v="1968"/>
    <n v="0.18"/>
    <n v="369.05"/>
    <s v="Wallet"/>
    <s v="Rajasthan"/>
    <x v="7"/>
    <x v="0"/>
    <s v="Returning"/>
  </r>
  <r>
    <s v="ORD100191"/>
    <x v="77"/>
    <s v="Ananya Meena"/>
    <x v="0"/>
    <s v="Air Fryer"/>
    <x v="15"/>
    <n v="3"/>
    <n v="17550"/>
    <n v="0.1"/>
    <n v="2002.3"/>
    <s v="Credit Card"/>
    <s v="Rajasthan"/>
    <x v="7"/>
    <x v="0"/>
    <s v="New"/>
  </r>
  <r>
    <s v="ORD100192"/>
    <x v="5"/>
    <s v="Vivaan Singh"/>
    <x v="0"/>
    <s v="Bedsheet"/>
    <x v="21"/>
    <n v="1"/>
    <n v="936"/>
    <n v="0.22"/>
    <n v="170.23"/>
    <s v="Cash on Delivery"/>
    <s v="Rajasthan"/>
    <x v="10"/>
    <x v="0"/>
    <s v="New"/>
  </r>
  <r>
    <s v="ORD100193"/>
    <x v="154"/>
    <s v="Ananya Meena"/>
    <x v="1"/>
    <s v="Tablet"/>
    <x v="1"/>
    <n v="1"/>
    <n v="16920"/>
    <n v="0.06"/>
    <n v="1732.09"/>
    <s v="Net Banking"/>
    <s v="Rajasthan"/>
    <x v="9"/>
    <x v="0"/>
    <s v="Returning"/>
  </r>
  <r>
    <s v="ORD100194"/>
    <x v="115"/>
    <s v="Arjun Agarwal"/>
    <x v="1"/>
    <s v="Headphones"/>
    <x v="30"/>
    <n v="2"/>
    <n v="4400"/>
    <n v="0.12"/>
    <n v="600.15"/>
    <s v="Net Banking"/>
    <s v="Gujarat"/>
    <x v="1"/>
    <x v="0"/>
    <s v="New"/>
  </r>
  <r>
    <s v="ORD100195"/>
    <x v="155"/>
    <s v="Vivaan Yadav"/>
    <x v="1"/>
    <s v="Smart Watch"/>
    <x v="7"/>
    <n v="1"/>
    <n v="4450"/>
    <n v="0.11"/>
    <n v="511.57"/>
    <s v="Credit Card"/>
    <s v="Uttar Pradesh"/>
    <x v="6"/>
    <x v="2"/>
    <s v="Returning"/>
  </r>
  <r>
    <s v="ORD100196"/>
    <x v="53"/>
    <s v="Sneha Agarwal"/>
    <x v="5"/>
    <s v="Office Chair"/>
    <x v="32"/>
    <n v="1"/>
    <n v="6375"/>
    <n v="0.15"/>
    <n v="739.43"/>
    <s v="Cash on Delivery"/>
    <s v="Karnataka"/>
    <x v="2"/>
    <x v="1"/>
    <s v="New"/>
  </r>
  <r>
    <s v="ORD100197"/>
    <x v="156"/>
    <s v="Arjun Verma"/>
    <x v="0"/>
    <s v="Coffee Maker"/>
    <x v="4"/>
    <n v="2"/>
    <n v="9200"/>
    <n v="0.08"/>
    <n v="1497.86"/>
    <s v="Cash on Delivery"/>
    <s v="Goa"/>
    <x v="13"/>
    <x v="0"/>
    <s v="Returning"/>
  </r>
  <r>
    <s v="ORD100198"/>
    <x v="157"/>
    <s v="Rohit Yadav"/>
    <x v="6"/>
    <s v="Data Analytics Book"/>
    <x v="12"/>
    <n v="2"/>
    <n v="1824"/>
    <n v="0.24"/>
    <n v="298.25"/>
    <s v="Debit Card"/>
    <s v="Rajasthan"/>
    <x v="7"/>
    <x v="0"/>
    <s v="Returning"/>
  </r>
  <r>
    <s v="ORD100199"/>
    <x v="74"/>
    <s v="Ananya Yadav"/>
    <x v="2"/>
    <s v="Women Kurti"/>
    <x v="26"/>
    <n v="2"/>
    <n v="2240"/>
    <n v="0.2"/>
    <n v="415.84"/>
    <s v="Net Banking"/>
    <s v="Gujarat"/>
    <x v="1"/>
    <x v="0"/>
    <s v="Returning"/>
  </r>
  <r>
    <s v="ORD100200"/>
    <x v="158"/>
    <s v="Aman Gupta"/>
    <x v="5"/>
    <s v="Dining Table"/>
    <x v="23"/>
    <n v="2"/>
    <n v="35640"/>
    <n v="0.19"/>
    <n v="4879.28"/>
    <s v="Net Banking"/>
    <s v="Kerala"/>
    <x v="14"/>
    <x v="1"/>
    <s v="Returning"/>
  </r>
  <r>
    <s v="ORD100201"/>
    <x v="159"/>
    <s v="Arjun Sharma"/>
    <x v="5"/>
    <s v="Bookshelf"/>
    <x v="10"/>
    <n v="2"/>
    <n v="8700"/>
    <n v="0.13"/>
    <n v="948.28"/>
    <s v="Cash on Delivery"/>
    <s v="Goa"/>
    <x v="13"/>
    <x v="0"/>
    <s v="Returning"/>
  </r>
  <r>
    <s v="ORD100202"/>
    <x v="160"/>
    <s v="Karan Singh"/>
    <x v="3"/>
    <s v="Skin Care Kit"/>
    <x v="20"/>
    <n v="2"/>
    <n v="3784"/>
    <n v="0.14000000000000001"/>
    <n v="702.51"/>
    <s v="Net Banking"/>
    <s v="Uttar Pradesh"/>
    <x v="16"/>
    <x v="2"/>
    <s v="New"/>
  </r>
  <r>
    <s v="ORD100203"/>
    <x v="161"/>
    <s v="Vikas Sharma"/>
    <x v="5"/>
    <s v="Office Chair"/>
    <x v="32"/>
    <n v="4"/>
    <n v="25200"/>
    <n v="0.16"/>
    <n v="4426.3900000000003"/>
    <s v="Credit Card"/>
    <s v="Rajasthan"/>
    <x v="10"/>
    <x v="0"/>
    <s v="Returning"/>
  </r>
  <r>
    <s v="ORD100204"/>
    <x v="162"/>
    <s v="Karan Gupta"/>
    <x v="5"/>
    <s v="Bookshelf"/>
    <x v="10"/>
    <n v="3"/>
    <n v="12000"/>
    <n v="0.2"/>
    <n v="1409.79"/>
    <s v="UPI"/>
    <s v="Punjab"/>
    <x v="15"/>
    <x v="2"/>
    <s v="New"/>
  </r>
  <r>
    <s v="ORD100205"/>
    <x v="44"/>
    <s v="Pooja Singh"/>
    <x v="4"/>
    <s v="Badminton Racket"/>
    <x v="9"/>
    <n v="1"/>
    <n v="1548"/>
    <n v="0.14000000000000001"/>
    <n v="229.27"/>
    <s v="UPI"/>
    <s v="Punjab"/>
    <x v="15"/>
    <x v="2"/>
    <s v="New"/>
  </r>
  <r>
    <s v="ORD100206"/>
    <x v="1"/>
    <s v="Aarav Singh"/>
    <x v="0"/>
    <s v="Coffee Maker"/>
    <x v="4"/>
    <n v="2"/>
    <n v="9600"/>
    <n v="0.04"/>
    <n v="1388.58"/>
    <s v="Cash on Delivery"/>
    <s v="Odisha"/>
    <x v="17"/>
    <x v="3"/>
    <s v="New"/>
  </r>
  <r>
    <s v="ORD100207"/>
    <x v="163"/>
    <s v="Nisha Singh"/>
    <x v="1"/>
    <s v="Smart Watch"/>
    <x v="7"/>
    <n v="2"/>
    <n v="8300"/>
    <n v="0.17"/>
    <n v="1228.18"/>
    <s v="Wallet"/>
    <s v="Uttar Pradesh"/>
    <x v="16"/>
    <x v="2"/>
    <s v="Returning"/>
  </r>
  <r>
    <s v="ORD100208"/>
    <x v="164"/>
    <s v="Isha Jain"/>
    <x v="2"/>
    <s v="Jacket"/>
    <x v="2"/>
    <n v="4"/>
    <n v="9408"/>
    <n v="0.16"/>
    <n v="1481.18"/>
    <s v="Cash on Delivery"/>
    <s v="Telangana"/>
    <x v="11"/>
    <x v="1"/>
    <s v="Returning"/>
  </r>
  <r>
    <s v="ORD100209"/>
    <x v="165"/>
    <s v="Ananya Agarwal"/>
    <x v="2"/>
    <s v="Jacket"/>
    <x v="2"/>
    <n v="5"/>
    <n v="10780"/>
    <n v="0.23"/>
    <n v="1818.35"/>
    <s v="Net Banking"/>
    <s v="Uttar Pradesh"/>
    <x v="16"/>
    <x v="2"/>
    <s v="Returning"/>
  </r>
  <r>
    <s v="ORD100210"/>
    <x v="166"/>
    <s v="Priya Jain"/>
    <x v="5"/>
    <s v="Dining Table"/>
    <x v="23"/>
    <n v="2"/>
    <n v="36080"/>
    <n v="0.18"/>
    <n v="4716.99"/>
    <s v="Debit Card"/>
    <s v="Rajasthan"/>
    <x v="9"/>
    <x v="0"/>
    <s v="Returning"/>
  </r>
  <r>
    <s v="ORD100211"/>
    <x v="42"/>
    <s v="Sneha Sharma"/>
    <x v="5"/>
    <s v="Office Chair"/>
    <x v="32"/>
    <n v="4"/>
    <n v="23700"/>
    <n v="0.21"/>
    <n v="1819.26"/>
    <s v="Wallet"/>
    <s v="Kerala"/>
    <x v="14"/>
    <x v="1"/>
    <s v="Returning"/>
  </r>
  <r>
    <s v="ORD100212"/>
    <x v="26"/>
    <s v="Nisha Gupta"/>
    <x v="4"/>
    <s v="Badminton Racket"/>
    <x v="9"/>
    <n v="1"/>
    <n v="1494"/>
    <n v="0.17"/>
    <n v="254.57"/>
    <s v="Credit Card"/>
    <s v="Rajasthan"/>
    <x v="7"/>
    <x v="0"/>
    <s v="New"/>
  </r>
  <r>
    <s v="ORD100213"/>
    <x v="167"/>
    <s v="Priya Agarwal"/>
    <x v="2"/>
    <s v="Men T-Shirt"/>
    <x v="24"/>
    <n v="2"/>
    <n v="1494"/>
    <n v="0.17"/>
    <n v="307.55"/>
    <s v="Wallet"/>
    <s v="Uttar Pradesh"/>
    <x v="6"/>
    <x v="2"/>
    <s v="New"/>
  </r>
  <r>
    <s v="ORD100214"/>
    <x v="166"/>
    <s v="Pooja Kumar"/>
    <x v="3"/>
    <s v="Skin Care Kit"/>
    <x v="20"/>
    <n v="2"/>
    <n v="3608"/>
    <n v="0.18"/>
    <n v="629.41"/>
    <s v="Debit Card"/>
    <s v="Tamil Nadu"/>
    <x v="19"/>
    <x v="1"/>
    <s v="Returning"/>
  </r>
  <r>
    <s v="ORD100215"/>
    <x v="133"/>
    <s v="Pooja Meena"/>
    <x v="6"/>
    <s v="Data Analytics Book"/>
    <x v="12"/>
    <n v="1"/>
    <n v="1068"/>
    <n v="0.11"/>
    <n v="205.01"/>
    <s v="Net Banking"/>
    <s v="Madhya Pradesh"/>
    <x v="0"/>
    <x v="0"/>
    <s v="Returning"/>
  </r>
  <r>
    <s v="ORD100216"/>
    <x v="21"/>
    <s v="Sneha Agarwal"/>
    <x v="6"/>
    <s v="Data Analytics Book"/>
    <x v="12"/>
    <n v="3"/>
    <n v="2988"/>
    <n v="0.17"/>
    <n v="566.25"/>
    <s v="Cash on Delivery"/>
    <s v="Rajasthan"/>
    <x v="10"/>
    <x v="0"/>
    <s v="Returning"/>
  </r>
  <r>
    <s v="ORD100217"/>
    <x v="168"/>
    <s v="Aditya Sharma"/>
    <x v="6"/>
    <s v="Business Book"/>
    <x v="19"/>
    <n v="5"/>
    <n v="2905"/>
    <n v="0.17"/>
    <n v="630.24"/>
    <s v="Debit Card"/>
    <s v="Odisha"/>
    <x v="17"/>
    <x v="3"/>
    <s v="New"/>
  </r>
  <r>
    <s v="ORD100218"/>
    <x v="169"/>
    <s v="Vivaan Agarwal"/>
    <x v="5"/>
    <s v="Dining Table"/>
    <x v="23"/>
    <n v="4"/>
    <n v="72160"/>
    <n v="0.18"/>
    <n v="7964.1"/>
    <s v="UPI"/>
    <s v="West Bengal"/>
    <x v="18"/>
    <x v="3"/>
    <s v="New"/>
  </r>
  <r>
    <s v="ORD100219"/>
    <x v="135"/>
    <s v="Vivaan Gupta"/>
    <x v="5"/>
    <s v="Bookshelf"/>
    <x v="10"/>
    <n v="1"/>
    <n v="4150"/>
    <n v="0.17"/>
    <n v="583.28"/>
    <s v="Net Banking"/>
    <s v="Madhya Pradesh"/>
    <x v="0"/>
    <x v="0"/>
    <s v="Returning"/>
  </r>
  <r>
    <s v="ORD100220"/>
    <x v="135"/>
    <s v="Arjun Verma"/>
    <x v="5"/>
    <s v="Study Table"/>
    <x v="28"/>
    <n v="3"/>
    <n v="16770"/>
    <n v="0.14000000000000001"/>
    <n v="1862.43"/>
    <s v="Net Banking"/>
    <s v="Gujarat"/>
    <x v="1"/>
    <x v="0"/>
    <s v="Returning"/>
  </r>
  <r>
    <s v="ORD100221"/>
    <x v="170"/>
    <s v="Sahil Meena"/>
    <x v="0"/>
    <s v="Bedsheet"/>
    <x v="21"/>
    <n v="1"/>
    <n v="1008"/>
    <n v="0.16"/>
    <n v="235.83"/>
    <s v="Debit Card"/>
    <s v="Odisha"/>
    <x v="17"/>
    <x v="3"/>
    <s v="Returning"/>
  </r>
  <r>
    <s v="ORD100222"/>
    <x v="84"/>
    <s v="Kavya Kumawat"/>
    <x v="1"/>
    <s v="Headphones"/>
    <x v="30"/>
    <n v="3"/>
    <n v="5925"/>
    <n v="0.21"/>
    <n v="971.17"/>
    <s v="Debit Card"/>
    <s v="Kerala"/>
    <x v="14"/>
    <x v="1"/>
    <s v="Returning"/>
  </r>
  <r>
    <s v="ORD100223"/>
    <x v="171"/>
    <s v="Simran Sharma"/>
    <x v="0"/>
    <s v="Water Bottle"/>
    <x v="35"/>
    <n v="2"/>
    <n v="1216"/>
    <n v="0.24"/>
    <n v="244.67"/>
    <s v="Net Banking"/>
    <s v="Gujarat"/>
    <x v="1"/>
    <x v="0"/>
    <s v="Returning"/>
  </r>
  <r>
    <s v="ORD100224"/>
    <x v="172"/>
    <s v="Simran Verma"/>
    <x v="4"/>
    <s v="Yoga Mat"/>
    <x v="17"/>
    <n v="1"/>
    <n v="738"/>
    <n v="0.18"/>
    <n v="129.68"/>
    <s v="Debit Card"/>
    <s v="Tamil Nadu"/>
    <x v="19"/>
    <x v="1"/>
    <s v="New"/>
  </r>
  <r>
    <s v="ORD100225"/>
    <x v="104"/>
    <s v="Pooja Sharma"/>
    <x v="1"/>
    <s v="Headphones"/>
    <x v="30"/>
    <n v="2"/>
    <n v="4300"/>
    <n v="0.14000000000000001"/>
    <n v="630.13"/>
    <s v="Wallet"/>
    <s v="Gujarat"/>
    <x v="1"/>
    <x v="0"/>
    <s v="Returning"/>
  </r>
  <r>
    <s v="ORD100226"/>
    <x v="173"/>
    <s v="Neha Yadav"/>
    <x v="3"/>
    <s v="Face Wash"/>
    <x v="3"/>
    <n v="2"/>
    <n v="738"/>
    <n v="0.18"/>
    <n v="112.18"/>
    <s v="Debit Card"/>
    <s v="Kerala"/>
    <x v="14"/>
    <x v="1"/>
    <s v="Returning"/>
  </r>
  <r>
    <s v="ORD100227"/>
    <x v="172"/>
    <s v="Neha Sharma"/>
    <x v="1"/>
    <s v="Bluetooth Speaker"/>
    <x v="11"/>
    <n v="1"/>
    <n v="3080"/>
    <n v="0.12"/>
    <n v="269.43"/>
    <s v="Cash on Delivery"/>
    <s v="Maharashtra"/>
    <x v="12"/>
    <x v="0"/>
    <s v="New"/>
  </r>
  <r>
    <s v="ORD100228"/>
    <x v="174"/>
    <s v="Sahil Gupta"/>
    <x v="1"/>
    <s v="Bluetooth Speaker"/>
    <x v="11"/>
    <n v="5"/>
    <n v="14875"/>
    <n v="0.15"/>
    <n v="1644.26"/>
    <s v="Debit Card"/>
    <s v="Kerala"/>
    <x v="14"/>
    <x v="1"/>
    <s v="New"/>
  </r>
  <r>
    <s v="ORD100229"/>
    <x v="83"/>
    <s v="Arjun Meena"/>
    <x v="4"/>
    <s v="Football"/>
    <x v="34"/>
    <n v="2"/>
    <n v="1944"/>
    <n v="0.19"/>
    <n v="316.95"/>
    <s v="Credit Card"/>
    <s v="West Bengal"/>
    <x v="18"/>
    <x v="3"/>
    <s v="Returning"/>
  </r>
  <r>
    <s v="ORD100230"/>
    <x v="140"/>
    <s v="Aman Singh"/>
    <x v="5"/>
    <s v="Bed"/>
    <x v="27"/>
    <n v="3"/>
    <n v="72900"/>
    <n v="0.19"/>
    <n v="7008.02"/>
    <s v="UPI"/>
    <s v="Uttar Pradesh"/>
    <x v="16"/>
    <x v="2"/>
    <s v="Returning"/>
  </r>
  <r>
    <s v="ORD100231"/>
    <x v="175"/>
    <s v="Rohit Agarwal"/>
    <x v="6"/>
    <s v="Novel"/>
    <x v="14"/>
    <n v="3"/>
    <n v="1140"/>
    <n v="0.24"/>
    <n v="214.06"/>
    <s v="UPI"/>
    <s v="Uttar Pradesh"/>
    <x v="6"/>
    <x v="2"/>
    <s v="Returning"/>
  </r>
  <r>
    <s v="ORD100232"/>
    <x v="63"/>
    <s v="Arjun Kumar"/>
    <x v="1"/>
    <s v="Bluetooth Speaker"/>
    <x v="11"/>
    <n v="1"/>
    <n v="2975"/>
    <n v="0.15"/>
    <n v="482.69"/>
    <s v="Net Banking"/>
    <s v="Tamil Nadu"/>
    <x v="19"/>
    <x v="1"/>
    <s v="Returning"/>
  </r>
  <r>
    <s v="ORD100233"/>
    <x v="176"/>
    <s v="Priya Jain"/>
    <x v="6"/>
    <s v="Data Analytics Book"/>
    <x v="12"/>
    <n v="5"/>
    <n v="5100"/>
    <n v="0.15"/>
    <n v="1046.8800000000001"/>
    <s v="Debit Card"/>
    <s v="Telangana"/>
    <x v="11"/>
    <x v="1"/>
    <s v="New"/>
  </r>
  <r>
    <s v="ORD100234"/>
    <x v="147"/>
    <s v="Priya Agarwal"/>
    <x v="1"/>
    <s v="Headphones"/>
    <x v="30"/>
    <n v="5"/>
    <n v="10500"/>
    <n v="0.16"/>
    <n v="1315"/>
    <s v="UPI"/>
    <s v="Rajasthan"/>
    <x v="10"/>
    <x v="0"/>
    <s v="Returning"/>
  </r>
  <r>
    <s v="ORD100235"/>
    <x v="177"/>
    <s v="Vivaan Kumawat"/>
    <x v="2"/>
    <s v="Women Kurti"/>
    <x v="26"/>
    <n v="1"/>
    <n v="1162"/>
    <n v="0.17"/>
    <n v="223.28"/>
    <s v="Credit Card"/>
    <s v="Gujarat"/>
    <x v="1"/>
    <x v="0"/>
    <s v="New"/>
  </r>
  <r>
    <s v="ORD100236"/>
    <x v="138"/>
    <s v="Sahil Gupta"/>
    <x v="1"/>
    <s v="Smartphone"/>
    <x v="22"/>
    <n v="2"/>
    <n v="43000"/>
    <n v="0.14000000000000001"/>
    <n v="5271.73"/>
    <s v="Debit Card"/>
    <s v="Rajasthan"/>
    <x v="9"/>
    <x v="0"/>
    <s v="Returning"/>
  </r>
  <r>
    <s v="ORD100237"/>
    <x v="139"/>
    <s v="Aman Meena"/>
    <x v="2"/>
    <s v="Sneakers"/>
    <x v="29"/>
    <n v="3"/>
    <n v="7560"/>
    <n v="0.16"/>
    <n v="1055.57"/>
    <s v="Debit Card"/>
    <s v="Rajasthan"/>
    <x v="7"/>
    <x v="0"/>
    <s v="New"/>
  </r>
  <r>
    <s v="ORD100238"/>
    <x v="135"/>
    <s v="Aman Gupta"/>
    <x v="3"/>
    <s v="Face Wash"/>
    <x v="3"/>
    <n v="2"/>
    <n v="720"/>
    <n v="0.2"/>
    <n v="158.84"/>
    <s v="Net Banking"/>
    <s v="Punjab"/>
    <x v="15"/>
    <x v="2"/>
    <s v="Returning"/>
  </r>
  <r>
    <s v="ORD100239"/>
    <x v="178"/>
    <s v="Ananya Agarwal"/>
    <x v="3"/>
    <s v="Perfume"/>
    <x v="18"/>
    <n v="5"/>
    <n v="7020"/>
    <n v="0.22"/>
    <n v="1688.13"/>
    <s v="Cash on Delivery"/>
    <s v="Rajasthan"/>
    <x v="7"/>
    <x v="0"/>
    <s v="New"/>
  </r>
  <r>
    <s v="ORD100240"/>
    <x v="97"/>
    <s v="Sahil Verma"/>
    <x v="1"/>
    <s v="Bluetooth Speaker"/>
    <x v="11"/>
    <n v="3"/>
    <n v="8610"/>
    <n v="0.18"/>
    <n v="1141.99"/>
    <s v="Debit Card"/>
    <s v="Kerala"/>
    <x v="14"/>
    <x v="1"/>
    <s v="New"/>
  </r>
  <r>
    <s v="ORD100241"/>
    <x v="122"/>
    <s v="Rahul Singh"/>
    <x v="5"/>
    <s v="Sofa"/>
    <x v="31"/>
    <n v="5"/>
    <n v="113400"/>
    <n v="0.19"/>
    <n v="9272"/>
    <s v="Cash on Delivery"/>
    <s v="Haryana"/>
    <x v="8"/>
    <x v="2"/>
    <s v="Returning"/>
  </r>
  <r>
    <s v="ORD100242"/>
    <x v="179"/>
    <s v="Karan Yadav"/>
    <x v="0"/>
    <s v="Mixer Grinder"/>
    <x v="0"/>
    <n v="3"/>
    <n v="12960"/>
    <n v="0.04"/>
    <n v="2029.33"/>
    <s v="Cash on Delivery"/>
    <s v="Gujarat"/>
    <x v="1"/>
    <x v="0"/>
    <s v="Returning"/>
  </r>
  <r>
    <s v="ORD100243"/>
    <x v="180"/>
    <s v="Aman Singh"/>
    <x v="1"/>
    <s v="Tablet"/>
    <x v="1"/>
    <n v="1"/>
    <n v="16200"/>
    <n v="0.1"/>
    <n v="1262.31"/>
    <s v="Net Banking"/>
    <s v="Rajasthan"/>
    <x v="10"/>
    <x v="0"/>
    <s v="Returning"/>
  </r>
  <r>
    <s v="ORD100244"/>
    <x v="170"/>
    <s v="Kavya Gupta"/>
    <x v="4"/>
    <s v="Cricket Bat"/>
    <x v="16"/>
    <n v="2"/>
    <n v="5950"/>
    <n v="0.15"/>
    <n v="811.81"/>
    <s v="UPI"/>
    <s v="Karnataka"/>
    <x v="2"/>
    <x v="1"/>
    <s v="Returning"/>
  </r>
  <r>
    <s v="ORD100245"/>
    <x v="170"/>
    <s v="Pooja Kumar"/>
    <x v="3"/>
    <s v="Perfume"/>
    <x v="18"/>
    <n v="2"/>
    <n v="2988"/>
    <n v="0.17"/>
    <n v="510.02"/>
    <s v="UPI"/>
    <s v="Rajasthan"/>
    <x v="7"/>
    <x v="0"/>
    <s v="Returning"/>
  </r>
  <r>
    <s v="ORD100246"/>
    <x v="86"/>
    <s v="Nisha Kumar"/>
    <x v="1"/>
    <s v="Smart Watch"/>
    <x v="7"/>
    <n v="1"/>
    <n v="4300"/>
    <n v="0.14000000000000001"/>
    <n v="527.24"/>
    <s v="Wallet"/>
    <s v="Goa"/>
    <x v="13"/>
    <x v="0"/>
    <s v="Returning"/>
  </r>
  <r>
    <s v="ORD100247"/>
    <x v="181"/>
    <s v="Rohit Singh"/>
    <x v="5"/>
    <s v="Bookshelf"/>
    <x v="10"/>
    <n v="1"/>
    <n v="4200"/>
    <n v="0.16"/>
    <n v="599.13"/>
    <s v="Wallet"/>
    <s v="Rajasthan"/>
    <x v="9"/>
    <x v="0"/>
    <s v="New"/>
  </r>
  <r>
    <s v="ORD100248"/>
    <x v="182"/>
    <s v="Priya Kumawat"/>
    <x v="3"/>
    <s v="Perfume"/>
    <x v="18"/>
    <n v="3"/>
    <n v="4482"/>
    <n v="0.17"/>
    <n v="800.14"/>
    <s v="Cash on Delivery"/>
    <s v="Rajasthan"/>
    <x v="7"/>
    <x v="0"/>
    <s v="Returning"/>
  </r>
  <r>
    <s v="ORD100249"/>
    <x v="183"/>
    <s v="Vikas Singh"/>
    <x v="5"/>
    <s v="Bookshelf"/>
    <x v="10"/>
    <n v="4"/>
    <n v="15200"/>
    <n v="0.24"/>
    <n v="1055.29"/>
    <s v="Net Banking"/>
    <s v="Telangana"/>
    <x v="11"/>
    <x v="1"/>
    <s v="Returning"/>
  </r>
  <r>
    <s v="ORD100250"/>
    <x v="9"/>
    <s v="Neha Singh"/>
    <x v="0"/>
    <s v="Bedsheet"/>
    <x v="21"/>
    <n v="1"/>
    <n v="936"/>
    <n v="0.22"/>
    <n v="132.88"/>
    <s v="Wallet"/>
    <s v="Tamil Nadu"/>
    <x v="19"/>
    <x v="1"/>
    <s v="New"/>
  </r>
  <r>
    <s v="ORD100251"/>
    <x v="184"/>
    <s v="Nisha Sharma"/>
    <x v="2"/>
    <s v="Jeans"/>
    <x v="8"/>
    <n v="1"/>
    <n v="1476"/>
    <n v="0.18"/>
    <n v="337.23"/>
    <s v="Net Banking"/>
    <s v="Gujarat"/>
    <x v="1"/>
    <x v="0"/>
    <s v="New"/>
  </r>
  <r>
    <s v="ORD100252"/>
    <x v="176"/>
    <s v="Ananya Verma"/>
    <x v="6"/>
    <s v="Novel"/>
    <x v="14"/>
    <n v="1"/>
    <n v="365"/>
    <n v="0.27"/>
    <n v="79.09"/>
    <s v="Credit Card"/>
    <s v="Bihar"/>
    <x v="5"/>
    <x v="3"/>
    <s v="New"/>
  </r>
  <r>
    <s v="ORD100253"/>
    <x v="185"/>
    <s v="Aarav Meena"/>
    <x v="3"/>
    <s v="Shampoo"/>
    <x v="33"/>
    <n v="3"/>
    <n v="1618.5"/>
    <n v="0.17"/>
    <n v="229.07"/>
    <s v="Wallet"/>
    <s v="Odisha"/>
    <x v="17"/>
    <x v="3"/>
    <s v="Returning"/>
  </r>
  <r>
    <s v="ORD100254"/>
    <x v="186"/>
    <s v="Karan Singh"/>
    <x v="4"/>
    <s v="Cricket Bat"/>
    <x v="16"/>
    <n v="2"/>
    <n v="6020"/>
    <n v="0.14000000000000001"/>
    <n v="857.4"/>
    <s v="Credit Card"/>
    <s v="Odisha"/>
    <x v="17"/>
    <x v="3"/>
    <s v="New"/>
  </r>
  <r>
    <s v="ORD100255"/>
    <x v="144"/>
    <s v="Simran Singh"/>
    <x v="5"/>
    <s v="Office Chair"/>
    <x v="32"/>
    <n v="2"/>
    <n v="12300"/>
    <n v="0.18"/>
    <n v="1646.45"/>
    <s v="Debit Card"/>
    <s v="Haryana"/>
    <x v="8"/>
    <x v="2"/>
    <s v="Returning"/>
  </r>
  <r>
    <s v="ORD100256"/>
    <x v="161"/>
    <s v="Simran Verma"/>
    <x v="6"/>
    <s v="Novel"/>
    <x v="14"/>
    <n v="3"/>
    <n v="1230"/>
    <n v="0.18"/>
    <n v="262.25"/>
    <s v="Debit Card"/>
    <s v="Odisha"/>
    <x v="17"/>
    <x v="3"/>
    <s v="Returning"/>
  </r>
  <r>
    <s v="ORD100257"/>
    <x v="73"/>
    <s v="Aditya Agarwal"/>
    <x v="4"/>
    <s v="Cricket Bat"/>
    <x v="16"/>
    <n v="4"/>
    <n v="11900"/>
    <n v="0.15"/>
    <n v="2052.4899999999998"/>
    <s v="Wallet"/>
    <s v="Odisha"/>
    <x v="17"/>
    <x v="3"/>
    <s v="New"/>
  </r>
  <r>
    <s v="ORD100258"/>
    <x v="91"/>
    <s v="Kavya Sharma"/>
    <x v="5"/>
    <s v="Sofa"/>
    <x v="31"/>
    <n v="1"/>
    <n v="21560"/>
    <n v="0.23"/>
    <n v="1787.04"/>
    <s v="Cash on Delivery"/>
    <s v="Maharashtra"/>
    <x v="12"/>
    <x v="0"/>
    <s v="Returning"/>
  </r>
  <r>
    <s v="ORD100259"/>
    <x v="187"/>
    <s v="Aditya Sharma"/>
    <x v="5"/>
    <s v="Office Chair"/>
    <x v="32"/>
    <n v="2"/>
    <n v="12600"/>
    <n v="0.16"/>
    <n v="1713.93"/>
    <s v="Wallet"/>
    <s v="West Bengal"/>
    <x v="18"/>
    <x v="3"/>
    <s v="New"/>
  </r>
  <r>
    <s v="ORD100260"/>
    <x v="188"/>
    <s v="Simran Kumawat"/>
    <x v="3"/>
    <s v="Skin Care Kit"/>
    <x v="20"/>
    <n v="2"/>
    <n v="3476"/>
    <n v="0.21"/>
    <n v="670.43"/>
    <s v="UPI"/>
    <s v="Goa"/>
    <x v="13"/>
    <x v="0"/>
    <s v="Returning"/>
  </r>
  <r>
    <s v="ORD100261"/>
    <x v="33"/>
    <s v="Simran Verma"/>
    <x v="1"/>
    <s v="Keyboard"/>
    <x v="6"/>
    <n v="2"/>
    <n v="3060"/>
    <n v="0.15"/>
    <n v="213.99"/>
    <s v="Credit Card"/>
    <s v="West Bengal"/>
    <x v="18"/>
    <x v="3"/>
    <s v="Returning"/>
  </r>
  <r>
    <s v="ORD100262"/>
    <x v="121"/>
    <s v="Vikas Sharma"/>
    <x v="2"/>
    <s v="Jeans"/>
    <x v="8"/>
    <n v="2"/>
    <n v="2952"/>
    <n v="0.18"/>
    <n v="517.75"/>
    <s v="Net Banking"/>
    <s v="Telangana"/>
    <x v="11"/>
    <x v="1"/>
    <s v="Returning"/>
  </r>
  <r>
    <s v="ORD100263"/>
    <x v="189"/>
    <s v="Rohit Kumawat"/>
    <x v="1"/>
    <s v="Mouse"/>
    <x v="36"/>
    <n v="1"/>
    <n v="774"/>
    <n v="0.14000000000000001"/>
    <n v="76.09"/>
    <s v="Wallet"/>
    <s v="Punjab"/>
    <x v="15"/>
    <x v="2"/>
    <s v="New"/>
  </r>
  <r>
    <s v="ORD100264"/>
    <x v="145"/>
    <s v="Kavya Verma"/>
    <x v="5"/>
    <s v="Dining Table"/>
    <x v="23"/>
    <n v="2"/>
    <n v="35640"/>
    <n v="0.19"/>
    <n v="4177.66"/>
    <s v="Credit Card"/>
    <s v="Rajasthan"/>
    <x v="10"/>
    <x v="0"/>
    <s v="Returning"/>
  </r>
  <r>
    <s v="ORD100265"/>
    <x v="190"/>
    <s v="Isha Kumawat"/>
    <x v="5"/>
    <s v="Office Chair"/>
    <x v="32"/>
    <n v="3"/>
    <n v="18225"/>
    <n v="0.19"/>
    <n v="2026.63"/>
    <s v="Debit Card"/>
    <s v="Madhya Pradesh"/>
    <x v="0"/>
    <x v="0"/>
    <s v="New"/>
  </r>
  <r>
    <s v="ORD100266"/>
    <x v="71"/>
    <s v="Aman Singh"/>
    <x v="1"/>
    <s v="Laptop"/>
    <x v="25"/>
    <n v="3"/>
    <n v="158400"/>
    <n v="0.04"/>
    <n v="12734.82"/>
    <s v="Net Banking"/>
    <s v="Punjab"/>
    <x v="15"/>
    <x v="2"/>
    <s v="Returning"/>
  </r>
  <r>
    <s v="ORD100267"/>
    <x v="175"/>
    <s v="Pooja Sharma"/>
    <x v="3"/>
    <s v="Face Wash"/>
    <x v="3"/>
    <n v="3"/>
    <n v="1039.5"/>
    <n v="0.23"/>
    <n v="201.02"/>
    <s v="Cash on Delivery"/>
    <s v="Telangana"/>
    <x v="11"/>
    <x v="1"/>
    <s v="Returning"/>
  </r>
  <r>
    <s v="ORD100268"/>
    <x v="191"/>
    <s v="Riya Kumar"/>
    <x v="4"/>
    <s v="Cricket Bat"/>
    <x v="16"/>
    <n v="1"/>
    <n v="3290"/>
    <n v="0.06"/>
    <n v="434.35"/>
    <s v="Cash on Delivery"/>
    <s v="Madhya Pradesh"/>
    <x v="0"/>
    <x v="0"/>
    <s v="Returning"/>
  </r>
  <r>
    <s v="ORD100269"/>
    <x v="192"/>
    <s v="Isha Sharma"/>
    <x v="0"/>
    <s v="Mixer Grinder"/>
    <x v="0"/>
    <n v="4"/>
    <n v="15300"/>
    <n v="0.15"/>
    <n v="2158.04"/>
    <s v="Credit Card"/>
    <s v="Haryana"/>
    <x v="8"/>
    <x v="2"/>
    <s v="Returning"/>
  </r>
  <r>
    <s v="ORD100270"/>
    <x v="193"/>
    <s v="Simran Kumawat"/>
    <x v="5"/>
    <s v="Office Chair"/>
    <x v="32"/>
    <n v="4"/>
    <n v="24900"/>
    <n v="0.17"/>
    <n v="3039.45"/>
    <s v="Debit Card"/>
    <s v="Gujarat"/>
    <x v="1"/>
    <x v="0"/>
    <s v="Returning"/>
  </r>
  <r>
    <s v="ORD100271"/>
    <x v="172"/>
    <s v="Vivaan Meena"/>
    <x v="1"/>
    <s v="Smartphone"/>
    <x v="22"/>
    <n v="1"/>
    <n v="21750"/>
    <n v="0.13"/>
    <n v="3208.63"/>
    <s v="UPI"/>
    <s v="Uttar Pradesh"/>
    <x v="6"/>
    <x v="2"/>
    <s v="Returning"/>
  </r>
  <r>
    <s v="ORD100272"/>
    <x v="194"/>
    <s v="Sneha Kumawat"/>
    <x v="2"/>
    <s v="Men T-Shirt"/>
    <x v="24"/>
    <n v="1"/>
    <n v="711"/>
    <n v="0.21"/>
    <n v="115.8"/>
    <s v="Cash on Delivery"/>
    <s v="Gujarat"/>
    <x v="1"/>
    <x v="0"/>
    <s v="Returning"/>
  </r>
  <r>
    <s v="ORD100273"/>
    <x v="52"/>
    <s v="Neha Kumar"/>
    <x v="5"/>
    <s v="Office Chair"/>
    <x v="32"/>
    <n v="2"/>
    <n v="12150"/>
    <n v="0.19"/>
    <n v="1898.8"/>
    <s v="Credit Card"/>
    <s v="West Bengal"/>
    <x v="18"/>
    <x v="3"/>
    <s v="New"/>
  </r>
  <r>
    <s v="ORD100274"/>
    <x v="12"/>
    <s v="Aditya Agarwal"/>
    <x v="2"/>
    <s v="Jeans"/>
    <x v="8"/>
    <n v="3"/>
    <n v="4482"/>
    <n v="0.17"/>
    <n v="798.37"/>
    <s v="Credit Card"/>
    <s v="Rajasthan"/>
    <x v="10"/>
    <x v="0"/>
    <s v="Returning"/>
  </r>
  <r>
    <s v="ORD100275"/>
    <x v="40"/>
    <s v="Rahul Yadav"/>
    <x v="6"/>
    <s v="Data Analytics Book"/>
    <x v="12"/>
    <n v="3"/>
    <n v="2916"/>
    <n v="0.19"/>
    <n v="399.79"/>
    <s v="Cash on Delivery"/>
    <s v="Kerala"/>
    <x v="14"/>
    <x v="1"/>
    <s v="New"/>
  </r>
  <r>
    <s v="ORD100276"/>
    <x v="195"/>
    <s v="Neha Sharma"/>
    <x v="1"/>
    <s v="Smart Watch"/>
    <x v="7"/>
    <n v="3"/>
    <n v="13650"/>
    <n v="0.09"/>
    <n v="1572.32"/>
    <s v="Wallet"/>
    <s v="West Bengal"/>
    <x v="18"/>
    <x v="3"/>
    <s v="New"/>
  </r>
  <r>
    <s v="ORD100277"/>
    <x v="180"/>
    <s v="Arjun Sharma"/>
    <x v="1"/>
    <s v="Smart Watch"/>
    <x v="7"/>
    <n v="3"/>
    <n v="13050"/>
    <n v="0.13"/>
    <n v="1832.93"/>
    <s v="Cash on Delivery"/>
    <s v="Bihar"/>
    <x v="5"/>
    <x v="3"/>
    <s v="Returning"/>
  </r>
  <r>
    <s v="ORD100278"/>
    <x v="190"/>
    <s v="Ananya Meena"/>
    <x v="3"/>
    <s v="Shampoo"/>
    <x v="33"/>
    <n v="5"/>
    <n v="2860"/>
    <n v="0.12"/>
    <n v="421.87"/>
    <s v="Net Banking"/>
    <s v="Tamil Nadu"/>
    <x v="19"/>
    <x v="1"/>
    <s v="Returning"/>
  </r>
  <r>
    <s v="ORD100279"/>
    <x v="149"/>
    <s v="Rahul Kumawat"/>
    <x v="6"/>
    <s v="Data Analytics Book"/>
    <x v="12"/>
    <n v="5"/>
    <n v="5040"/>
    <n v="0.16"/>
    <n v="669.47"/>
    <s v="Cash on Delivery"/>
    <s v="Gujarat"/>
    <x v="1"/>
    <x v="0"/>
    <s v="Returning"/>
  </r>
  <r>
    <s v="ORD100280"/>
    <x v="196"/>
    <s v="Vikas Sharma"/>
    <x v="5"/>
    <s v="Dining Table"/>
    <x v="23"/>
    <n v="2"/>
    <n v="32120"/>
    <n v="0.27"/>
    <n v="2083.3000000000002"/>
    <s v="Wallet"/>
    <s v="Bihar"/>
    <x v="5"/>
    <x v="3"/>
    <s v="Returning"/>
  </r>
  <r>
    <s v="ORD100281"/>
    <x v="197"/>
    <s v="Simran Singh"/>
    <x v="6"/>
    <s v="Programming Book"/>
    <x v="13"/>
    <n v="1"/>
    <n v="720"/>
    <n v="0.2"/>
    <n v="105.8"/>
    <s v="Net Banking"/>
    <s v="West Bengal"/>
    <x v="18"/>
    <x v="3"/>
    <s v="Returning"/>
  </r>
  <r>
    <s v="ORD100282"/>
    <x v="191"/>
    <s v="Neha Yadav"/>
    <x v="1"/>
    <s v="Laptop"/>
    <x v="25"/>
    <n v="3"/>
    <n v="151800"/>
    <n v="0.08"/>
    <n v="20359.47"/>
    <s v="Debit Card"/>
    <s v="Telangana"/>
    <x v="11"/>
    <x v="1"/>
    <s v="Returning"/>
  </r>
  <r>
    <s v="ORD100283"/>
    <x v="62"/>
    <s v="Riya Jain"/>
    <x v="2"/>
    <s v="Sneakers"/>
    <x v="29"/>
    <n v="5"/>
    <n v="11550"/>
    <n v="0.23"/>
    <n v="1765.1"/>
    <s v="Cash on Delivery"/>
    <s v="Punjab"/>
    <x v="15"/>
    <x v="2"/>
    <s v="Returning"/>
  </r>
  <r>
    <s v="ORD100284"/>
    <x v="198"/>
    <s v="Isha Gupta"/>
    <x v="0"/>
    <s v="Water Bottle"/>
    <x v="35"/>
    <n v="2"/>
    <n v="1376"/>
    <n v="0.14000000000000001"/>
    <n v="286.97000000000003"/>
    <s v="Cash on Delivery"/>
    <s v="Tamil Nadu"/>
    <x v="19"/>
    <x v="1"/>
    <s v="Returning"/>
  </r>
  <r>
    <s v="ORD100285"/>
    <x v="138"/>
    <s v="Neha Yadav"/>
    <x v="0"/>
    <s v="Coffee Maker"/>
    <x v="4"/>
    <n v="3"/>
    <n v="12750"/>
    <n v="0.15"/>
    <n v="1667.19"/>
    <s v="Wallet"/>
    <s v="West Bengal"/>
    <x v="18"/>
    <x v="3"/>
    <s v="New"/>
  </r>
  <r>
    <s v="ORD100286"/>
    <x v="86"/>
    <s v="Simran Singh"/>
    <x v="4"/>
    <s v="Badminton Racket"/>
    <x v="9"/>
    <n v="2"/>
    <n v="3240"/>
    <n v="0.1"/>
    <n v="588.22"/>
    <s v="Debit Card"/>
    <s v="Gujarat"/>
    <x v="1"/>
    <x v="0"/>
    <s v="New"/>
  </r>
  <r>
    <s v="ORD100287"/>
    <x v="113"/>
    <s v="Sneha Agarwal"/>
    <x v="0"/>
    <s v="Coffee Maker"/>
    <x v="4"/>
    <n v="1"/>
    <n v="4350"/>
    <n v="0.13"/>
    <n v="712.87"/>
    <s v="Cash on Delivery"/>
    <s v="Madhya Pradesh"/>
    <x v="0"/>
    <x v="0"/>
    <s v="Returning"/>
  </r>
  <r>
    <s v="ORD100288"/>
    <x v="125"/>
    <s v="Aditya Agarwal"/>
    <x v="0"/>
    <s v="Coffee Maker"/>
    <x v="4"/>
    <n v="1"/>
    <n v="4250"/>
    <n v="0.15"/>
    <n v="282.58"/>
    <s v="Net Banking"/>
    <s v="Odisha"/>
    <x v="17"/>
    <x v="3"/>
    <s v="Returning"/>
  </r>
  <r>
    <s v="ORD100289"/>
    <x v="49"/>
    <s v="Neha Singh"/>
    <x v="5"/>
    <s v="Study Table"/>
    <x v="28"/>
    <n v="5"/>
    <n v="25675"/>
    <n v="0.21"/>
    <n v="3920.72"/>
    <s v="Credit Card"/>
    <s v="West Bengal"/>
    <x v="18"/>
    <x v="3"/>
    <s v="New"/>
  </r>
  <r>
    <s v="ORD100290"/>
    <x v="14"/>
    <s v="Aditya Jain"/>
    <x v="4"/>
    <s v="Cricket Bat"/>
    <x v="16"/>
    <n v="1"/>
    <n v="3080"/>
    <n v="0.12"/>
    <n v="527.96"/>
    <s v="Debit Card"/>
    <s v="Delhi"/>
    <x v="3"/>
    <x v="2"/>
    <s v="New"/>
  </r>
  <r>
    <s v="ORD100291"/>
    <x v="23"/>
    <s v="Arjun Agarwal"/>
    <x v="1"/>
    <s v="Laptop"/>
    <x v="25"/>
    <n v="2"/>
    <n v="96800"/>
    <n v="0.12"/>
    <n v="12792.03"/>
    <s v="Cash on Delivery"/>
    <s v="Rajasthan"/>
    <x v="10"/>
    <x v="0"/>
    <s v="New"/>
  </r>
  <r>
    <s v="ORD100292"/>
    <x v="199"/>
    <s v="Vivaan Jain"/>
    <x v="5"/>
    <s v="Office Chair"/>
    <x v="32"/>
    <n v="1"/>
    <n v="6225"/>
    <n v="0.17"/>
    <n v="693.32"/>
    <s v="Debit Card"/>
    <s v="Gujarat"/>
    <x v="1"/>
    <x v="0"/>
    <s v="New"/>
  </r>
  <r>
    <s v="ORD100293"/>
    <x v="159"/>
    <s v="Karan Singh"/>
    <x v="5"/>
    <s v="Dining Table"/>
    <x v="23"/>
    <n v="1"/>
    <n v="17820"/>
    <n v="0.19"/>
    <n v="2313.4499999999998"/>
    <s v="Credit Card"/>
    <s v="Telangana"/>
    <x v="11"/>
    <x v="1"/>
    <s v="Returning"/>
  </r>
  <r>
    <s v="ORD100294"/>
    <x v="159"/>
    <s v="Kavya Meena"/>
    <x v="1"/>
    <s v="Smartphone"/>
    <x v="22"/>
    <n v="1"/>
    <n v="21250"/>
    <n v="0.15"/>
    <n v="2781.47"/>
    <s v="Debit Card"/>
    <s v="Rajasthan"/>
    <x v="9"/>
    <x v="0"/>
    <s v="New"/>
  </r>
  <r>
    <s v="ORD100295"/>
    <x v="130"/>
    <s v="Aman Gupta"/>
    <x v="1"/>
    <s v="Laptop"/>
    <x v="25"/>
    <n v="1"/>
    <n v="49500"/>
    <n v="0.1"/>
    <n v="5968.63"/>
    <s v="Net Banking"/>
    <s v="Madhya Pradesh"/>
    <x v="0"/>
    <x v="0"/>
    <s v="New"/>
  </r>
  <r>
    <s v="ORD100296"/>
    <x v="199"/>
    <s v="Isha Yadav"/>
    <x v="4"/>
    <s v="Badminton Racket"/>
    <x v="9"/>
    <n v="5"/>
    <n v="7020"/>
    <n v="0.22"/>
    <n v="1270.44"/>
    <s v="Cash on Delivery"/>
    <s v="Goa"/>
    <x v="13"/>
    <x v="0"/>
    <s v="Returning"/>
  </r>
  <r>
    <s v="ORD100297"/>
    <x v="18"/>
    <s v="Ananya Kumar"/>
    <x v="2"/>
    <s v="Sneakers"/>
    <x v="29"/>
    <n v="2"/>
    <n v="5220"/>
    <n v="0.13"/>
    <n v="857.09"/>
    <s v="Credit Card"/>
    <s v="Punjab"/>
    <x v="15"/>
    <x v="2"/>
    <s v="Returning"/>
  </r>
  <r>
    <s v="ORD100298"/>
    <x v="183"/>
    <s v="Ananya Kumar"/>
    <x v="6"/>
    <s v="Programming Book"/>
    <x v="13"/>
    <n v="4"/>
    <n v="2988"/>
    <n v="0.17"/>
    <n v="621.58000000000004"/>
    <s v="Credit Card"/>
    <s v="Telangana"/>
    <x v="11"/>
    <x v="1"/>
    <s v="Returning"/>
  </r>
  <r>
    <s v="ORD100299"/>
    <x v="195"/>
    <s v="Riya Meena"/>
    <x v="0"/>
    <s v="Coffee Maker"/>
    <x v="4"/>
    <n v="3"/>
    <n v="13500"/>
    <n v="0.1"/>
    <n v="2712.75"/>
    <s v="Net Banking"/>
    <s v="Gujarat"/>
    <x v="1"/>
    <x v="0"/>
    <s v="Returning"/>
  </r>
  <r>
    <s v="ORD100300"/>
    <x v="158"/>
    <s v="Neha Agarwal"/>
    <x v="0"/>
    <s v="Water Bottle"/>
    <x v="35"/>
    <n v="4"/>
    <n v="2624"/>
    <n v="0.18"/>
    <n v="529.67999999999995"/>
    <s v="Credit Card"/>
    <s v="Maharashtra"/>
    <x v="4"/>
    <x v="0"/>
    <s v="New"/>
  </r>
  <r>
    <s v="ORD100301"/>
    <x v="106"/>
    <s v="Pooja Singh"/>
    <x v="1"/>
    <s v="Bluetooth Speaker"/>
    <x v="11"/>
    <n v="3"/>
    <n v="9030"/>
    <n v="0.14000000000000001"/>
    <n v="1530.97"/>
    <s v="Cash on Delivery"/>
    <s v="Rajasthan"/>
    <x v="10"/>
    <x v="0"/>
    <s v="New"/>
  </r>
  <r>
    <s v="ORD100302"/>
    <x v="200"/>
    <s v="Sahil Yadav"/>
    <x v="2"/>
    <s v="Men T-Shirt"/>
    <x v="24"/>
    <n v="2"/>
    <n v="1404"/>
    <n v="0.22"/>
    <n v="287.73"/>
    <s v="Net Banking"/>
    <s v="Haryana"/>
    <x v="8"/>
    <x v="2"/>
    <s v="Returning"/>
  </r>
  <r>
    <s v="ORD100303"/>
    <x v="201"/>
    <s v="Simran Singh"/>
    <x v="6"/>
    <s v="Data Analytics Book"/>
    <x v="12"/>
    <n v="5"/>
    <n v="4920"/>
    <n v="0.18"/>
    <n v="815.49"/>
    <s v="Cash on Delivery"/>
    <s v="Delhi"/>
    <x v="3"/>
    <x v="2"/>
    <s v="New"/>
  </r>
  <r>
    <s v="ORD100304"/>
    <x v="164"/>
    <s v="Aditya Kumar"/>
    <x v="5"/>
    <s v="Bed"/>
    <x v="27"/>
    <n v="1"/>
    <n v="24900"/>
    <n v="0.17"/>
    <n v="2149.0100000000002"/>
    <s v="Net Banking"/>
    <s v="Haryana"/>
    <x v="8"/>
    <x v="2"/>
    <s v="Returning"/>
  </r>
  <r>
    <s v="ORD100305"/>
    <x v="68"/>
    <s v="Rahul Verma"/>
    <x v="1"/>
    <s v="Smartphone"/>
    <x v="22"/>
    <n v="4"/>
    <n v="89000"/>
    <n v="0.11"/>
    <n v="13580.97"/>
    <s v="Cash on Delivery"/>
    <s v="Rajasthan"/>
    <x v="10"/>
    <x v="0"/>
    <s v="Returning"/>
  </r>
  <r>
    <s v="ORD100306"/>
    <x v="107"/>
    <s v="Pooja Kumar"/>
    <x v="1"/>
    <s v="Mouse"/>
    <x v="36"/>
    <n v="3"/>
    <n v="2268"/>
    <n v="0.16"/>
    <n v="306.89"/>
    <s v="Cash on Delivery"/>
    <s v="Gujarat"/>
    <x v="1"/>
    <x v="0"/>
    <s v="Returning"/>
  </r>
  <r>
    <s v="ORD100307"/>
    <x v="158"/>
    <s v="Karan Meena"/>
    <x v="6"/>
    <s v="Novel"/>
    <x v="14"/>
    <n v="2"/>
    <n v="790"/>
    <n v="0.21"/>
    <n v="130.1"/>
    <s v="Wallet"/>
    <s v="Telangana"/>
    <x v="11"/>
    <x v="1"/>
    <s v="Returning"/>
  </r>
  <r>
    <s v="ORD100308"/>
    <x v="112"/>
    <s v="Priya Gupta"/>
    <x v="5"/>
    <s v="Dining Table"/>
    <x v="23"/>
    <n v="2"/>
    <n v="35640"/>
    <n v="0.19"/>
    <n v="3993.76"/>
    <s v="UPI"/>
    <s v="Rajasthan"/>
    <x v="7"/>
    <x v="0"/>
    <s v="New"/>
  </r>
  <r>
    <s v="ORD100309"/>
    <x v="202"/>
    <s v="Sneha Meena"/>
    <x v="5"/>
    <s v="Sofa"/>
    <x v="31"/>
    <n v="2"/>
    <n v="43120"/>
    <n v="0.23"/>
    <n v="3289.58"/>
    <s v="Credit Card"/>
    <s v="Maharashtra"/>
    <x v="4"/>
    <x v="0"/>
    <s v="Returning"/>
  </r>
  <r>
    <s v="ORD100310"/>
    <x v="203"/>
    <s v="Rohit Sharma"/>
    <x v="3"/>
    <s v="Perfume"/>
    <x v="18"/>
    <n v="1"/>
    <n v="1476"/>
    <n v="0.18"/>
    <n v="281.16000000000003"/>
    <s v="Debit Card"/>
    <s v="Uttar Pradesh"/>
    <x v="16"/>
    <x v="2"/>
    <s v="New"/>
  </r>
  <r>
    <s v="ORD100311"/>
    <x v="204"/>
    <s v="Vivaan Gupta"/>
    <x v="1"/>
    <s v="Keyboard"/>
    <x v="6"/>
    <n v="2"/>
    <n v="2880"/>
    <n v="0.2"/>
    <n v="315.12"/>
    <s v="Cash on Delivery"/>
    <s v="Delhi"/>
    <x v="3"/>
    <x v="2"/>
    <s v="New"/>
  </r>
  <r>
    <s v="ORD100312"/>
    <x v="205"/>
    <s v="Priya Gupta"/>
    <x v="6"/>
    <s v="Novel"/>
    <x v="14"/>
    <n v="1"/>
    <n v="370"/>
    <n v="0.26"/>
    <n v="80.260000000000005"/>
    <s v="Net Banking"/>
    <s v="Punjab"/>
    <x v="15"/>
    <x v="2"/>
    <s v="New"/>
  </r>
  <r>
    <s v="ORD100313"/>
    <x v="206"/>
    <s v="Arjun Jain"/>
    <x v="3"/>
    <s v="Skin Care Kit"/>
    <x v="20"/>
    <n v="4"/>
    <n v="7392"/>
    <n v="0.16"/>
    <n v="1300.2"/>
    <s v="Cash on Delivery"/>
    <s v="Bihar"/>
    <x v="5"/>
    <x v="3"/>
    <s v="Returning"/>
  </r>
  <r>
    <s v="ORD100314"/>
    <x v="168"/>
    <s v="Arjun Kumawat"/>
    <x v="5"/>
    <s v="Office Chair"/>
    <x v="32"/>
    <n v="3"/>
    <n v="18000"/>
    <n v="0.2"/>
    <n v="2363.23"/>
    <s v="UPI"/>
    <s v="Haryana"/>
    <x v="8"/>
    <x v="2"/>
    <s v="New"/>
  </r>
  <r>
    <s v="ORD100315"/>
    <x v="207"/>
    <s v="Priya Yadav"/>
    <x v="3"/>
    <s v="Face Wash"/>
    <x v="3"/>
    <n v="4"/>
    <n v="1422"/>
    <n v="0.21"/>
    <n v="306.19"/>
    <s v="Net Banking"/>
    <s v="Uttar Pradesh"/>
    <x v="6"/>
    <x v="2"/>
    <s v="Returning"/>
  </r>
  <r>
    <s v="ORD100316"/>
    <x v="208"/>
    <s v="Karan Jain"/>
    <x v="4"/>
    <s v="Football"/>
    <x v="34"/>
    <n v="1"/>
    <n v="960"/>
    <n v="0.2"/>
    <n v="147.91999999999999"/>
    <s v="UPI"/>
    <s v="Tamil Nadu"/>
    <x v="19"/>
    <x v="1"/>
    <s v="Returning"/>
  </r>
  <r>
    <s v="ORD100317"/>
    <x v="138"/>
    <s v="Isha Kumar"/>
    <x v="0"/>
    <s v="Bedsheet"/>
    <x v="21"/>
    <n v="2"/>
    <n v="2112"/>
    <n v="0.12"/>
    <n v="321.06"/>
    <s v="Net Banking"/>
    <s v="Rajasthan"/>
    <x v="9"/>
    <x v="0"/>
    <s v="Returning"/>
  </r>
  <r>
    <s v="ORD100318"/>
    <x v="195"/>
    <s v="Ananya Gupta"/>
    <x v="2"/>
    <s v="Women Kurti"/>
    <x v="26"/>
    <n v="1"/>
    <n v="1190"/>
    <n v="0.15"/>
    <n v="231.8"/>
    <s v="Wallet"/>
    <s v="Rajasthan"/>
    <x v="7"/>
    <x v="0"/>
    <s v="Returning"/>
  </r>
  <r>
    <s v="ORD100319"/>
    <x v="209"/>
    <s v="Karan Sharma"/>
    <x v="5"/>
    <s v="Bookshelf"/>
    <x v="10"/>
    <n v="1"/>
    <n v="4250"/>
    <n v="0.15"/>
    <n v="530.03"/>
    <s v="UPI"/>
    <s v="Gujarat"/>
    <x v="1"/>
    <x v="0"/>
    <s v="Returning"/>
  </r>
  <r>
    <s v="ORD100320"/>
    <x v="210"/>
    <s v="Aditya Jain"/>
    <x v="3"/>
    <s v="Face Wash"/>
    <x v="3"/>
    <n v="4"/>
    <n v="1458"/>
    <n v="0.19"/>
    <n v="208.17"/>
    <s v="Debit Card"/>
    <s v="Kerala"/>
    <x v="14"/>
    <x v="1"/>
    <s v="Returning"/>
  </r>
  <r>
    <s v="ORD100321"/>
    <x v="101"/>
    <s v="Rohit Verma"/>
    <x v="3"/>
    <s v="Skin Care Kit"/>
    <x v="20"/>
    <n v="1"/>
    <n v="1936"/>
    <n v="0.12"/>
    <n v="386.39"/>
    <s v="Credit Card"/>
    <s v="Karnataka"/>
    <x v="2"/>
    <x v="1"/>
    <s v="Returning"/>
  </r>
  <r>
    <s v="ORD100322"/>
    <x v="119"/>
    <s v="Karan Kumawat"/>
    <x v="4"/>
    <s v="Cricket Bat"/>
    <x v="16"/>
    <n v="2"/>
    <n v="5810"/>
    <n v="0.17"/>
    <n v="683.65"/>
    <s v="UPI"/>
    <s v="Delhi"/>
    <x v="3"/>
    <x v="2"/>
    <s v="New"/>
  </r>
  <r>
    <s v="ORD100323"/>
    <x v="113"/>
    <s v="Nisha Jain"/>
    <x v="2"/>
    <s v="Women Kurti"/>
    <x v="26"/>
    <n v="2"/>
    <n v="2128"/>
    <n v="0.24"/>
    <n v="422.92"/>
    <s v="Net Banking"/>
    <s v="Maharashtra"/>
    <x v="4"/>
    <x v="0"/>
    <s v="Returning"/>
  </r>
  <r>
    <s v="ORD100324"/>
    <x v="107"/>
    <s v="Sahil Gupta"/>
    <x v="1"/>
    <s v="Smartphone"/>
    <x v="22"/>
    <n v="3"/>
    <n v="67500"/>
    <n v="0.1"/>
    <n v="7198.67"/>
    <s v="Debit Card"/>
    <s v="Maharashtra"/>
    <x v="12"/>
    <x v="0"/>
    <s v="New"/>
  </r>
  <r>
    <s v="ORD100325"/>
    <x v="211"/>
    <s v="Aditya Kumawat"/>
    <x v="5"/>
    <s v="Office Chair"/>
    <x v="32"/>
    <n v="2"/>
    <n v="11850"/>
    <n v="0.21"/>
    <n v="1486.81"/>
    <s v="UPI"/>
    <s v="Madhya Pradesh"/>
    <x v="0"/>
    <x v="0"/>
    <s v="New"/>
  </r>
  <r>
    <s v="ORD100326"/>
    <x v="212"/>
    <s v="Aman Sharma"/>
    <x v="0"/>
    <s v="Bedsheet"/>
    <x v="21"/>
    <n v="2"/>
    <n v="1944"/>
    <n v="0.19"/>
    <n v="337.79"/>
    <s v="Debit Card"/>
    <s v="Telangana"/>
    <x v="11"/>
    <x v="1"/>
    <s v="Returning"/>
  </r>
  <r>
    <s v="ORD100327"/>
    <x v="213"/>
    <s v="Ananya Sharma"/>
    <x v="3"/>
    <s v="Skin Care Kit"/>
    <x v="20"/>
    <n v="2"/>
    <n v="4004"/>
    <n v="0.09"/>
    <n v="801.82"/>
    <s v="Credit Card"/>
    <s v="Rajasthan"/>
    <x v="10"/>
    <x v="0"/>
    <s v="New"/>
  </r>
  <r>
    <s v="ORD100328"/>
    <x v="24"/>
    <s v="Pooja Verma"/>
    <x v="2"/>
    <s v="Jeans"/>
    <x v="8"/>
    <n v="5"/>
    <n v="7200"/>
    <n v="0.2"/>
    <n v="1414.35"/>
    <s v="Credit Card"/>
    <s v="Maharashtra"/>
    <x v="12"/>
    <x v="0"/>
    <s v="New"/>
  </r>
  <r>
    <s v="ORD100329"/>
    <x v="214"/>
    <s v="Isha Meena"/>
    <x v="3"/>
    <s v="Skin Care Kit"/>
    <x v="20"/>
    <n v="2"/>
    <n v="3960"/>
    <n v="0.1"/>
    <n v="829.96"/>
    <s v="Net Banking"/>
    <s v="Madhya Pradesh"/>
    <x v="0"/>
    <x v="0"/>
    <s v="New"/>
  </r>
  <r>
    <s v="ORD100330"/>
    <x v="215"/>
    <s v="Priya Kumawat"/>
    <x v="1"/>
    <s v="Keyboard"/>
    <x v="6"/>
    <n v="3"/>
    <n v="4266"/>
    <n v="0.21"/>
    <n v="511.34"/>
    <s v="Cash on Delivery"/>
    <s v="Uttar Pradesh"/>
    <x v="16"/>
    <x v="2"/>
    <s v="Returning"/>
  </r>
  <r>
    <s v="ORD100331"/>
    <x v="93"/>
    <s v="Nisha Jain"/>
    <x v="0"/>
    <s v="Water Bottle"/>
    <x v="35"/>
    <n v="3"/>
    <n v="1920"/>
    <n v="0.2"/>
    <n v="330.41"/>
    <s v="Credit Card"/>
    <s v="Maharashtra"/>
    <x v="4"/>
    <x v="0"/>
    <s v="New"/>
  </r>
  <r>
    <s v="ORD100332"/>
    <x v="206"/>
    <s v="Rahul Sharma"/>
    <x v="2"/>
    <s v="Sneakers"/>
    <x v="29"/>
    <n v="3"/>
    <n v="7650"/>
    <n v="0.15"/>
    <n v="1456.06"/>
    <s v="Debit Card"/>
    <s v="Maharashtra"/>
    <x v="4"/>
    <x v="0"/>
    <s v="Returning"/>
  </r>
  <r>
    <s v="ORD100333"/>
    <x v="216"/>
    <s v="Isha Yadav"/>
    <x v="2"/>
    <s v="Jeans"/>
    <x v="8"/>
    <n v="2"/>
    <n v="2844"/>
    <n v="0.21"/>
    <n v="354.96"/>
    <s v="UPI"/>
    <s v="Haryana"/>
    <x v="8"/>
    <x v="2"/>
    <s v="Returning"/>
  </r>
  <r>
    <s v="ORD100334"/>
    <x v="105"/>
    <s v="Rohit Gupta"/>
    <x v="5"/>
    <s v="Study Table"/>
    <x v="28"/>
    <n v="3"/>
    <n v="16965"/>
    <n v="0.13"/>
    <n v="1601.84"/>
    <s v="Debit Card"/>
    <s v="Goa"/>
    <x v="13"/>
    <x v="0"/>
    <s v="New"/>
  </r>
  <r>
    <s v="ORD100335"/>
    <x v="192"/>
    <s v="Sneha Verma"/>
    <x v="6"/>
    <s v="Novel"/>
    <x v="14"/>
    <n v="4"/>
    <n v="1540"/>
    <n v="0.23"/>
    <n v="351.64"/>
    <s v="Wallet"/>
    <s v="Kerala"/>
    <x v="14"/>
    <x v="1"/>
    <s v="Returning"/>
  </r>
  <r>
    <s v="ORD100336"/>
    <x v="5"/>
    <s v="Kavya Singh"/>
    <x v="6"/>
    <s v="Novel"/>
    <x v="14"/>
    <n v="3"/>
    <n v="1110"/>
    <n v="0.26"/>
    <n v="201.16"/>
    <s v="UPI"/>
    <s v="Punjab"/>
    <x v="15"/>
    <x v="2"/>
    <s v="New"/>
  </r>
  <r>
    <s v="ORD100337"/>
    <x v="217"/>
    <s v="Sahil Kumawat"/>
    <x v="6"/>
    <s v="Programming Book"/>
    <x v="13"/>
    <n v="4"/>
    <n v="2772"/>
    <n v="0.23"/>
    <n v="402.26"/>
    <s v="Cash on Delivery"/>
    <s v="Telangana"/>
    <x v="11"/>
    <x v="1"/>
    <s v="Returning"/>
  </r>
  <r>
    <s v="ORD100338"/>
    <x v="79"/>
    <s v="Sneha Agarwal"/>
    <x v="2"/>
    <s v="Men T-Shirt"/>
    <x v="24"/>
    <n v="2"/>
    <n v="1404"/>
    <n v="0.22"/>
    <n v="247.24"/>
    <s v="Cash on Delivery"/>
    <s v="Madhya Pradesh"/>
    <x v="0"/>
    <x v="0"/>
    <s v="New"/>
  </r>
  <r>
    <s v="ORD100339"/>
    <x v="218"/>
    <s v="Vikas Jain"/>
    <x v="0"/>
    <s v="Mixer Grinder"/>
    <x v="0"/>
    <n v="3"/>
    <n v="11205"/>
    <n v="0.17"/>
    <n v="1435.86"/>
    <s v="Net Banking"/>
    <s v="Delhi"/>
    <x v="3"/>
    <x v="2"/>
    <s v="New"/>
  </r>
  <r>
    <s v="ORD100340"/>
    <x v="185"/>
    <s v="Isha Kumar"/>
    <x v="3"/>
    <s v="Skin Care Kit"/>
    <x v="20"/>
    <n v="4"/>
    <n v="7920"/>
    <n v="0.1"/>
    <n v="1025.2"/>
    <s v="Net Banking"/>
    <s v="Goa"/>
    <x v="13"/>
    <x v="0"/>
    <s v="New"/>
  </r>
  <r>
    <s v="ORD100341"/>
    <x v="139"/>
    <s v="Isha Sharma"/>
    <x v="1"/>
    <s v="Laptop"/>
    <x v="25"/>
    <n v="1"/>
    <n v="51700"/>
    <n v="0.06"/>
    <n v="5703.67"/>
    <s v="Credit Card"/>
    <s v="Maharashtra"/>
    <x v="4"/>
    <x v="0"/>
    <s v="New"/>
  </r>
  <r>
    <s v="ORD100342"/>
    <x v="148"/>
    <s v="Simran Verma"/>
    <x v="4"/>
    <s v="Yoga Mat"/>
    <x v="17"/>
    <n v="1"/>
    <n v="765"/>
    <n v="0.15"/>
    <n v="130.87"/>
    <s v="Wallet"/>
    <s v="Madhya Pradesh"/>
    <x v="0"/>
    <x v="0"/>
    <s v="New"/>
  </r>
  <r>
    <s v="ORD100343"/>
    <x v="178"/>
    <s v="Aarav Sharma"/>
    <x v="0"/>
    <s v="Water Bottle"/>
    <x v="35"/>
    <n v="2"/>
    <n v="1184"/>
    <n v="0.26"/>
    <n v="214.3"/>
    <s v="Net Banking"/>
    <s v="Gujarat"/>
    <x v="1"/>
    <x v="0"/>
    <s v="New"/>
  </r>
  <r>
    <s v="ORD100344"/>
    <x v="75"/>
    <s v="Simran Kumawat"/>
    <x v="0"/>
    <s v="Bedsheet"/>
    <x v="21"/>
    <n v="2"/>
    <n v="2088"/>
    <n v="0.13"/>
    <n v="407.94"/>
    <s v="UPI"/>
    <s v="Madhya Pradesh"/>
    <x v="0"/>
    <x v="0"/>
    <s v="Returning"/>
  </r>
  <r>
    <s v="ORD100345"/>
    <x v="5"/>
    <s v="Karan Yadav"/>
    <x v="1"/>
    <s v="Tablet"/>
    <x v="1"/>
    <n v="1"/>
    <n v="16200"/>
    <n v="0.1"/>
    <n v="1522.9"/>
    <s v="Net Banking"/>
    <s v="Uttar Pradesh"/>
    <x v="6"/>
    <x v="2"/>
    <s v="New"/>
  </r>
  <r>
    <s v="ORD100346"/>
    <x v="219"/>
    <s v="Priya Sharma"/>
    <x v="1"/>
    <s v="Smart Watch"/>
    <x v="7"/>
    <n v="4"/>
    <n v="17200"/>
    <n v="0.14000000000000001"/>
    <n v="2643.69"/>
    <s v="Wallet"/>
    <s v="Rajasthan"/>
    <x v="10"/>
    <x v="0"/>
    <s v="Returning"/>
  </r>
  <r>
    <s v="ORD100347"/>
    <x v="46"/>
    <s v="Kavya Agarwal"/>
    <x v="2"/>
    <s v="Women Kurti"/>
    <x v="26"/>
    <n v="2"/>
    <n v="2212"/>
    <n v="0.21"/>
    <n v="418.04"/>
    <s v="Wallet"/>
    <s v="Goa"/>
    <x v="13"/>
    <x v="0"/>
    <s v="New"/>
  </r>
  <r>
    <s v="ORD100348"/>
    <x v="183"/>
    <s v="Nisha Jain"/>
    <x v="5"/>
    <s v="Study Table"/>
    <x v="28"/>
    <n v="4"/>
    <n v="23140"/>
    <n v="0.11"/>
    <n v="2821.62"/>
    <s v="Credit Card"/>
    <s v="Gujarat"/>
    <x v="1"/>
    <x v="0"/>
    <s v="Returning"/>
  </r>
  <r>
    <s v="ORD100349"/>
    <x v="142"/>
    <s v="Vikas Gupta"/>
    <x v="3"/>
    <s v="Face Wash"/>
    <x v="3"/>
    <n v="2"/>
    <n v="774"/>
    <n v="0.14000000000000001"/>
    <n v="121.33"/>
    <s v="Debit Card"/>
    <s v="West Bengal"/>
    <x v="18"/>
    <x v="3"/>
    <s v="New"/>
  </r>
  <r>
    <s v="ORD100350"/>
    <x v="8"/>
    <s v="Sahil Kumar"/>
    <x v="6"/>
    <s v="Business Book"/>
    <x v="19"/>
    <n v="1"/>
    <n v="525"/>
    <n v="0.25"/>
    <n v="82.87"/>
    <s v="Debit Card"/>
    <s v="Uttar Pradesh"/>
    <x v="6"/>
    <x v="2"/>
    <s v="Returning"/>
  </r>
  <r>
    <s v="ORD100351"/>
    <x v="135"/>
    <s v="Sneha Meena"/>
    <x v="3"/>
    <s v="Shampoo"/>
    <x v="33"/>
    <n v="4"/>
    <n v="2106"/>
    <n v="0.19"/>
    <n v="315.23"/>
    <s v="Debit Card"/>
    <s v="Goa"/>
    <x v="13"/>
    <x v="0"/>
    <s v="Returning"/>
  </r>
  <r>
    <s v="ORD100352"/>
    <x v="212"/>
    <s v="Vivaan Meena"/>
    <x v="1"/>
    <s v="Bluetooth Speaker"/>
    <x v="11"/>
    <n v="5"/>
    <n v="13825"/>
    <n v="0.21"/>
    <n v="1465.96"/>
    <s v="UPI"/>
    <s v="Gujarat"/>
    <x v="1"/>
    <x v="0"/>
    <s v="New"/>
  </r>
  <r>
    <s v="ORD100353"/>
    <x v="158"/>
    <s v="Arjun Kumar"/>
    <x v="0"/>
    <s v="Water Bottle"/>
    <x v="35"/>
    <n v="5"/>
    <n v="2880"/>
    <n v="0.28000000000000003"/>
    <n v="448.02"/>
    <s v="Net Banking"/>
    <s v="Madhya Pradesh"/>
    <x v="0"/>
    <x v="0"/>
    <s v="New"/>
  </r>
  <r>
    <s v="ORD100354"/>
    <x v="220"/>
    <s v="Arjun Kumar"/>
    <x v="3"/>
    <s v="Perfume"/>
    <x v="18"/>
    <n v="1"/>
    <n v="1512"/>
    <n v="0.16"/>
    <n v="277.61"/>
    <s v="UPI"/>
    <s v="Telangana"/>
    <x v="11"/>
    <x v="1"/>
    <s v="Returning"/>
  </r>
  <r>
    <s v="ORD100355"/>
    <x v="57"/>
    <s v="Simran Sharma"/>
    <x v="6"/>
    <s v="Novel"/>
    <x v="14"/>
    <n v="4"/>
    <n v="1540"/>
    <n v="0.23"/>
    <n v="324.19"/>
    <s v="Wallet"/>
    <s v="Gujarat"/>
    <x v="1"/>
    <x v="0"/>
    <s v="New"/>
  </r>
  <r>
    <s v="ORD100356"/>
    <x v="189"/>
    <s v="Sahil Kumar"/>
    <x v="6"/>
    <s v="Business Book"/>
    <x v="19"/>
    <n v="2"/>
    <n v="1078"/>
    <n v="0.23"/>
    <n v="209.93"/>
    <s v="Cash on Delivery"/>
    <s v="Tamil Nadu"/>
    <x v="19"/>
    <x v="1"/>
    <s v="Returning"/>
  </r>
  <r>
    <s v="ORD100357"/>
    <x v="221"/>
    <s v="Vikas Kumawat"/>
    <x v="3"/>
    <s v="Perfume"/>
    <x v="18"/>
    <n v="1"/>
    <n v="1386"/>
    <n v="0.23"/>
    <n v="282.04000000000002"/>
    <s v="Cash on Delivery"/>
    <s v="Kerala"/>
    <x v="14"/>
    <x v="1"/>
    <s v="Returning"/>
  </r>
  <r>
    <s v="ORD100358"/>
    <x v="141"/>
    <s v="Karan Yadav"/>
    <x v="2"/>
    <s v="Jeans"/>
    <x v="8"/>
    <n v="2"/>
    <n v="3024"/>
    <n v="0.16"/>
    <n v="478.51"/>
    <s v="Credit Card"/>
    <s v="Karnataka"/>
    <x v="2"/>
    <x v="1"/>
    <s v="New"/>
  </r>
  <r>
    <s v="ORD100359"/>
    <x v="132"/>
    <s v="Riya Singh"/>
    <x v="4"/>
    <s v="Yoga Mat"/>
    <x v="17"/>
    <n v="1"/>
    <n v="765"/>
    <n v="0.15"/>
    <n v="116.06"/>
    <s v="Wallet"/>
    <s v="Kerala"/>
    <x v="14"/>
    <x v="1"/>
    <s v="New"/>
  </r>
  <r>
    <s v="ORD100360"/>
    <x v="222"/>
    <s v="Arjun Jain"/>
    <x v="1"/>
    <s v="Tablet"/>
    <x v="1"/>
    <n v="5"/>
    <n v="86400"/>
    <n v="0.04"/>
    <n v="9703.89"/>
    <s v="Debit Card"/>
    <s v="Odisha"/>
    <x v="17"/>
    <x v="3"/>
    <s v="Returning"/>
  </r>
  <r>
    <s v="ORD100361"/>
    <x v="143"/>
    <s v="Isha Agarwal"/>
    <x v="2"/>
    <s v="Jacket"/>
    <x v="2"/>
    <n v="3"/>
    <n v="6972"/>
    <n v="0.17"/>
    <n v="944.52"/>
    <s v="UPI"/>
    <s v="Maharashtra"/>
    <x v="12"/>
    <x v="0"/>
    <s v="Returning"/>
  </r>
  <r>
    <s v="ORD100362"/>
    <x v="190"/>
    <s v="Vivaan Kumawat"/>
    <x v="6"/>
    <s v="Novel"/>
    <x v="14"/>
    <n v="1"/>
    <n v="370"/>
    <n v="0.26"/>
    <n v="75.7"/>
    <s v="Credit Card"/>
    <s v="Kerala"/>
    <x v="14"/>
    <x v="1"/>
    <s v="New"/>
  </r>
  <r>
    <s v="ORD100363"/>
    <x v="62"/>
    <s v="Pooja Verma"/>
    <x v="1"/>
    <s v="Keyboard"/>
    <x v="6"/>
    <n v="2"/>
    <n v="2916"/>
    <n v="0.19"/>
    <n v="305.70999999999998"/>
    <s v="Credit Card"/>
    <s v="Gujarat"/>
    <x v="1"/>
    <x v="0"/>
    <s v="New"/>
  </r>
  <r>
    <s v="ORD100364"/>
    <x v="223"/>
    <s v="Aarav Meena"/>
    <x v="2"/>
    <s v="Men T-Shirt"/>
    <x v="24"/>
    <n v="2"/>
    <n v="1350"/>
    <n v="0.25"/>
    <n v="302.33"/>
    <s v="Cash on Delivery"/>
    <s v="Tamil Nadu"/>
    <x v="19"/>
    <x v="1"/>
    <s v="New"/>
  </r>
  <r>
    <s v="ORD100365"/>
    <x v="44"/>
    <s v="Aditya Verma"/>
    <x v="1"/>
    <s v="Laptop"/>
    <x v="25"/>
    <n v="2"/>
    <n v="99000"/>
    <n v="0.1"/>
    <n v="13809.89"/>
    <s v="UPI"/>
    <s v="Uttar Pradesh"/>
    <x v="16"/>
    <x v="2"/>
    <s v="Returning"/>
  </r>
  <r>
    <s v="ORD100366"/>
    <x v="76"/>
    <s v="Nisha Jain"/>
    <x v="4"/>
    <s v="Badminton Racket"/>
    <x v="9"/>
    <n v="3"/>
    <n v="4536"/>
    <n v="0.16"/>
    <n v="717.58"/>
    <s v="UPI"/>
    <s v="Uttar Pradesh"/>
    <x v="16"/>
    <x v="2"/>
    <s v="Returning"/>
  </r>
  <r>
    <s v="ORD100367"/>
    <x v="200"/>
    <s v="Aman Sharma"/>
    <x v="5"/>
    <s v="Office Chair"/>
    <x v="32"/>
    <n v="2"/>
    <n v="12150"/>
    <n v="0.19"/>
    <n v="2486.27"/>
    <s v="Wallet"/>
    <s v="Haryana"/>
    <x v="8"/>
    <x v="2"/>
    <s v="Returning"/>
  </r>
  <r>
    <s v="ORD100368"/>
    <x v="139"/>
    <s v="Sahil Yadav"/>
    <x v="2"/>
    <s v="Jeans"/>
    <x v="8"/>
    <n v="1"/>
    <n v="1494"/>
    <n v="0.17"/>
    <n v="267.52"/>
    <s v="Net Banking"/>
    <s v="Haryana"/>
    <x v="8"/>
    <x v="2"/>
    <s v="Returning"/>
  </r>
  <r>
    <s v="ORD100369"/>
    <x v="169"/>
    <s v="Pooja Verma"/>
    <x v="2"/>
    <s v="Jeans"/>
    <x v="8"/>
    <n v="1"/>
    <n v="1440"/>
    <n v="0.2"/>
    <n v="273.99"/>
    <s v="Wallet"/>
    <s v="Maharashtra"/>
    <x v="12"/>
    <x v="0"/>
    <s v="Returning"/>
  </r>
  <r>
    <s v="ORD100370"/>
    <x v="92"/>
    <s v="Riya Meena"/>
    <x v="4"/>
    <s v="Yoga Mat"/>
    <x v="17"/>
    <n v="1"/>
    <n v="666"/>
    <n v="0.26"/>
    <n v="110.22"/>
    <s v="Wallet"/>
    <s v="Madhya Pradesh"/>
    <x v="0"/>
    <x v="0"/>
    <s v="Returning"/>
  </r>
  <r>
    <s v="ORD100371"/>
    <x v="224"/>
    <s v="Sahil Singh"/>
    <x v="5"/>
    <s v="Office Chair"/>
    <x v="32"/>
    <n v="5"/>
    <n v="32625"/>
    <n v="0.13"/>
    <n v="4730.51"/>
    <s v="Wallet"/>
    <s v="Tamil Nadu"/>
    <x v="19"/>
    <x v="1"/>
    <s v="New"/>
  </r>
  <r>
    <s v="ORD100372"/>
    <x v="121"/>
    <s v="Sneha Jain"/>
    <x v="5"/>
    <s v="Office Chair"/>
    <x v="32"/>
    <n v="1"/>
    <n v="5775"/>
    <n v="0.23"/>
    <n v="414.26"/>
    <s v="Credit Card"/>
    <s v="Uttar Pradesh"/>
    <x v="16"/>
    <x v="2"/>
    <s v="New"/>
  </r>
  <r>
    <s v="ORD100373"/>
    <x v="81"/>
    <s v="Riya Kumar"/>
    <x v="1"/>
    <s v="Laptop"/>
    <x v="25"/>
    <n v="1"/>
    <n v="49500"/>
    <n v="0.1"/>
    <n v="8330.16"/>
    <s v="Credit Card"/>
    <s v="Delhi"/>
    <x v="3"/>
    <x v="2"/>
    <s v="New"/>
  </r>
  <r>
    <s v="ORD100374"/>
    <x v="61"/>
    <s v="Aman Gupta"/>
    <x v="1"/>
    <s v="Tablet"/>
    <x v="1"/>
    <n v="3"/>
    <n v="47520"/>
    <n v="0.12"/>
    <n v="6812.41"/>
    <s v="UPI"/>
    <s v="Uttar Pradesh"/>
    <x v="6"/>
    <x v="2"/>
    <s v="New"/>
  </r>
  <r>
    <s v="ORD100375"/>
    <x v="61"/>
    <s v="Aditya Gupta"/>
    <x v="0"/>
    <s v="Air Fryer"/>
    <x v="15"/>
    <n v="4"/>
    <n v="22100"/>
    <n v="0.15"/>
    <n v="3245.04"/>
    <s v="Net Banking"/>
    <s v="Rajasthan"/>
    <x v="10"/>
    <x v="0"/>
    <s v="New"/>
  </r>
  <r>
    <s v="ORD100376"/>
    <x v="225"/>
    <s v="Kavya Agarwal"/>
    <x v="1"/>
    <s v="Keyboard"/>
    <x v="6"/>
    <n v="1"/>
    <n v="1530"/>
    <n v="0.15"/>
    <n v="245.39"/>
    <s v="Debit Card"/>
    <s v="Tamil Nadu"/>
    <x v="19"/>
    <x v="1"/>
    <s v="New"/>
  </r>
  <r>
    <s v="ORD100377"/>
    <x v="96"/>
    <s v="Ananya Agarwal"/>
    <x v="0"/>
    <s v="Cookware Set"/>
    <x v="5"/>
    <n v="1"/>
    <n v="3045"/>
    <n v="0.13"/>
    <n v="405.51"/>
    <s v="Wallet"/>
    <s v="Punjab"/>
    <x v="15"/>
    <x v="2"/>
    <s v="Returning"/>
  </r>
  <r>
    <s v="ORD100378"/>
    <x v="226"/>
    <s v="Sneha Agarwal"/>
    <x v="6"/>
    <s v="Novel"/>
    <x v="14"/>
    <n v="2"/>
    <n v="780"/>
    <n v="0.22"/>
    <n v="160.12"/>
    <s v="Net Banking"/>
    <s v="Rajasthan"/>
    <x v="9"/>
    <x v="0"/>
    <s v="Returning"/>
  </r>
  <r>
    <s v="ORD100379"/>
    <x v="227"/>
    <s v="Sneha Verma"/>
    <x v="3"/>
    <s v="Skin Care Kit"/>
    <x v="20"/>
    <n v="1"/>
    <n v="1914"/>
    <n v="0.13"/>
    <n v="249.31"/>
    <s v="Debit Card"/>
    <s v="Punjab"/>
    <x v="15"/>
    <x v="2"/>
    <s v="Returning"/>
  </r>
  <r>
    <s v="ORD100380"/>
    <x v="143"/>
    <s v="Nisha Kumawat"/>
    <x v="4"/>
    <s v="Badminton Racket"/>
    <x v="9"/>
    <n v="1"/>
    <n v="1530"/>
    <n v="0.15"/>
    <n v="310.20999999999998"/>
    <s v="Net Banking"/>
    <s v="Rajasthan"/>
    <x v="9"/>
    <x v="0"/>
    <s v="New"/>
  </r>
  <r>
    <s v="ORD100381"/>
    <x v="187"/>
    <s v="Arjun Jain"/>
    <x v="6"/>
    <s v="Data Analytics Book"/>
    <x v="12"/>
    <n v="3"/>
    <n v="2808"/>
    <n v="0.22"/>
    <n v="587.79999999999995"/>
    <s v="Net Banking"/>
    <s v="Rajasthan"/>
    <x v="7"/>
    <x v="0"/>
    <s v="New"/>
  </r>
  <r>
    <s v="ORD100382"/>
    <x v="228"/>
    <s v="Priya Yadav"/>
    <x v="5"/>
    <s v="Office Chair"/>
    <x v="32"/>
    <n v="2"/>
    <n v="12150"/>
    <n v="0.19"/>
    <n v="1645.72"/>
    <s v="Net Banking"/>
    <s v="Rajasthan"/>
    <x v="7"/>
    <x v="0"/>
    <s v="Returning"/>
  </r>
  <r>
    <s v="ORD100383"/>
    <x v="141"/>
    <s v="Arjun Kumawat"/>
    <x v="2"/>
    <s v="Women Kurti"/>
    <x v="26"/>
    <n v="5"/>
    <n v="5810"/>
    <n v="0.17"/>
    <n v="856.94"/>
    <s v="Wallet"/>
    <s v="Uttar Pradesh"/>
    <x v="6"/>
    <x v="2"/>
    <s v="New"/>
  </r>
  <r>
    <s v="ORD100384"/>
    <x v="36"/>
    <s v="Karan Kumar"/>
    <x v="4"/>
    <s v="Cricket Bat"/>
    <x v="16"/>
    <n v="5"/>
    <n v="15925"/>
    <n v="0.09"/>
    <n v="2401.11"/>
    <s v="Credit Card"/>
    <s v="Telangana"/>
    <x v="11"/>
    <x v="1"/>
    <s v="Returning"/>
  </r>
  <r>
    <s v="ORD100385"/>
    <x v="229"/>
    <s v="Riya Singh"/>
    <x v="2"/>
    <s v="Jeans"/>
    <x v="8"/>
    <n v="1"/>
    <n v="1476"/>
    <n v="0.18"/>
    <n v="285.73"/>
    <s v="UPI"/>
    <s v="Gujarat"/>
    <x v="1"/>
    <x v="0"/>
    <s v="New"/>
  </r>
  <r>
    <s v="ORD100386"/>
    <x v="87"/>
    <s v="Rohit Singh"/>
    <x v="1"/>
    <s v="Laptop"/>
    <x v="25"/>
    <n v="2"/>
    <n v="103400"/>
    <n v="0.06"/>
    <n v="14220.57"/>
    <s v="Wallet"/>
    <s v="Maharashtra"/>
    <x v="4"/>
    <x v="0"/>
    <s v="Returning"/>
  </r>
  <r>
    <s v="ORD100387"/>
    <x v="230"/>
    <s v="Aman Gupta"/>
    <x v="1"/>
    <s v="Headphones"/>
    <x v="30"/>
    <n v="3"/>
    <n v="6150"/>
    <n v="0.18"/>
    <n v="986.51"/>
    <s v="Cash on Delivery"/>
    <s v="Rajasthan"/>
    <x v="10"/>
    <x v="0"/>
    <s v="New"/>
  </r>
  <r>
    <s v="ORD100388"/>
    <x v="231"/>
    <s v="Rahul Meena"/>
    <x v="2"/>
    <s v="Men T-Shirt"/>
    <x v="24"/>
    <n v="1"/>
    <n v="684"/>
    <n v="0.24"/>
    <n v="155.80000000000001"/>
    <s v="Credit Card"/>
    <s v="Odisha"/>
    <x v="17"/>
    <x v="3"/>
    <s v="New"/>
  </r>
  <r>
    <s v="ORD100389"/>
    <x v="96"/>
    <s v="Ananya Jain"/>
    <x v="3"/>
    <s v="Skin Care Kit"/>
    <x v="20"/>
    <n v="3"/>
    <n v="5742"/>
    <n v="0.13"/>
    <n v="1011.26"/>
    <s v="Debit Card"/>
    <s v="Gujarat"/>
    <x v="1"/>
    <x v="0"/>
    <s v="Returning"/>
  </r>
  <r>
    <s v="ORD100390"/>
    <x v="180"/>
    <s v="Priya Kumawat"/>
    <x v="3"/>
    <s v="Shampoo"/>
    <x v="33"/>
    <n v="1"/>
    <n v="572"/>
    <n v="0.12"/>
    <n v="106.37"/>
    <s v="UPI"/>
    <s v="Bihar"/>
    <x v="5"/>
    <x v="3"/>
    <s v="New"/>
  </r>
  <r>
    <s v="ORD100391"/>
    <x v="232"/>
    <s v="Nisha Gupta"/>
    <x v="6"/>
    <s v="Business Book"/>
    <x v="19"/>
    <n v="2"/>
    <n v="1022"/>
    <n v="0.27"/>
    <n v="210.27"/>
    <s v="Debit Card"/>
    <s v="Tamil Nadu"/>
    <x v="19"/>
    <x v="1"/>
    <s v="Returning"/>
  </r>
  <r>
    <s v="ORD100392"/>
    <x v="7"/>
    <s v="Aditya Singh"/>
    <x v="1"/>
    <s v="Smart Watch"/>
    <x v="7"/>
    <n v="2"/>
    <n v="9300"/>
    <n v="7.0000000000000007E-2"/>
    <n v="866.05"/>
    <s v="Net Banking"/>
    <s v="Maharashtra"/>
    <x v="4"/>
    <x v="0"/>
    <s v="Returning"/>
  </r>
  <r>
    <s v="ORD100393"/>
    <x v="112"/>
    <s v="Simran Kumar"/>
    <x v="2"/>
    <s v="Jacket"/>
    <x v="2"/>
    <n v="2"/>
    <n v="4256"/>
    <n v="0.24"/>
    <n v="744.68"/>
    <s v="Wallet"/>
    <s v="Uttar Pradesh"/>
    <x v="6"/>
    <x v="2"/>
    <s v="Returning"/>
  </r>
  <r>
    <s v="ORD100394"/>
    <x v="233"/>
    <s v="Rahul Gupta"/>
    <x v="2"/>
    <s v="Men T-Shirt"/>
    <x v="24"/>
    <n v="1"/>
    <n v="666"/>
    <n v="0.26"/>
    <n v="142.35"/>
    <s v="Wallet"/>
    <s v="Goa"/>
    <x v="13"/>
    <x v="0"/>
    <s v="New"/>
  </r>
  <r>
    <s v="ORD100395"/>
    <x v="59"/>
    <s v="Ananya Kumar"/>
    <x v="0"/>
    <s v="Cookware Set"/>
    <x v="5"/>
    <n v="3"/>
    <n v="8085"/>
    <n v="0.23"/>
    <n v="1213.5"/>
    <s v="Wallet"/>
    <s v="Haryana"/>
    <x v="8"/>
    <x v="2"/>
    <s v="Returning"/>
  </r>
  <r>
    <s v="ORD100396"/>
    <x v="234"/>
    <s v="Simran Sharma"/>
    <x v="1"/>
    <s v="Keyboard"/>
    <x v="6"/>
    <n v="2"/>
    <n v="3204"/>
    <n v="0.11"/>
    <n v="385.35"/>
    <s v="UPI"/>
    <s v="Kerala"/>
    <x v="14"/>
    <x v="1"/>
    <s v="Returning"/>
  </r>
  <r>
    <s v="ORD100397"/>
    <x v="169"/>
    <s v="Ananya Kumar"/>
    <x v="4"/>
    <s v="Yoga Mat"/>
    <x v="17"/>
    <n v="3"/>
    <n v="2187"/>
    <n v="0.19"/>
    <n v="324.33"/>
    <s v="Wallet"/>
    <s v="Punjab"/>
    <x v="15"/>
    <x v="2"/>
    <s v="Returning"/>
  </r>
  <r>
    <s v="ORD100398"/>
    <x v="235"/>
    <s v="Rohit Singh"/>
    <x v="3"/>
    <s v="Face Wash"/>
    <x v="3"/>
    <n v="1"/>
    <n v="387"/>
    <n v="0.14000000000000001"/>
    <n v="74.87"/>
    <s v="Wallet"/>
    <s v="Maharashtra"/>
    <x v="4"/>
    <x v="0"/>
    <s v="Returning"/>
  </r>
  <r>
    <s v="ORD100399"/>
    <x v="225"/>
    <s v="Neha Jain"/>
    <x v="2"/>
    <s v="Women Kurti"/>
    <x v="26"/>
    <n v="2"/>
    <n v="2240"/>
    <n v="0.2"/>
    <n v="400.31"/>
    <s v="Cash on Delivery"/>
    <s v="Telangana"/>
    <x v="11"/>
    <x v="1"/>
    <s v="Returning"/>
  </r>
  <r>
    <s v="ORD100400"/>
    <x v="236"/>
    <s v="Kavya Yadav"/>
    <x v="3"/>
    <s v="Shampoo"/>
    <x v="33"/>
    <n v="2"/>
    <n v="1053"/>
    <n v="0.19"/>
    <n v="184.1"/>
    <s v="Debit Card"/>
    <s v="Haryana"/>
    <x v="8"/>
    <x v="2"/>
    <s v="New"/>
  </r>
  <r>
    <s v="ORD100401"/>
    <x v="237"/>
    <s v="Nisha Gupta"/>
    <x v="0"/>
    <s v="Coffee Maker"/>
    <x v="4"/>
    <n v="3"/>
    <n v="12750"/>
    <n v="0.15"/>
    <n v="1835.1"/>
    <s v="Cash on Delivery"/>
    <s v="Odisha"/>
    <x v="17"/>
    <x v="3"/>
    <s v="Returning"/>
  </r>
  <r>
    <s v="ORD100402"/>
    <x v="51"/>
    <s v="Aman Gupta"/>
    <x v="5"/>
    <s v="Sofa"/>
    <x v="31"/>
    <n v="1"/>
    <n v="21560"/>
    <n v="0.23"/>
    <n v="2325.9699999999998"/>
    <s v="Wallet"/>
    <s v="Madhya Pradesh"/>
    <x v="0"/>
    <x v="0"/>
    <s v="New"/>
  </r>
  <r>
    <s v="ORD100403"/>
    <x v="238"/>
    <s v="Vivaan Kumar"/>
    <x v="6"/>
    <s v="Programming Book"/>
    <x v="13"/>
    <n v="2"/>
    <n v="1440"/>
    <n v="0.2"/>
    <n v="231.44"/>
    <s v="Debit Card"/>
    <s v="Goa"/>
    <x v="13"/>
    <x v="0"/>
    <s v="Returning"/>
  </r>
  <r>
    <s v="ORD100404"/>
    <x v="239"/>
    <s v="Karan Jain"/>
    <x v="2"/>
    <s v="Jeans"/>
    <x v="8"/>
    <n v="3"/>
    <n v="4320"/>
    <n v="0.2"/>
    <n v="646.05999999999995"/>
    <s v="Cash on Delivery"/>
    <s v="Uttar Pradesh"/>
    <x v="16"/>
    <x v="2"/>
    <s v="New"/>
  </r>
  <r>
    <s v="ORD100405"/>
    <x v="32"/>
    <s v="Arjun Verma"/>
    <x v="3"/>
    <s v="Face Wash"/>
    <x v="3"/>
    <n v="2"/>
    <n v="711"/>
    <n v="0.21"/>
    <n v="133.08000000000001"/>
    <s v="Wallet"/>
    <s v="Gujarat"/>
    <x v="1"/>
    <x v="0"/>
    <s v="Returning"/>
  </r>
  <r>
    <s v="ORD100406"/>
    <x v="41"/>
    <s v="Neha Gupta"/>
    <x v="5"/>
    <s v="Study Table"/>
    <x v="28"/>
    <n v="3"/>
    <n v="17160"/>
    <n v="0.12"/>
    <n v="1576.11"/>
    <s v="Cash on Delivery"/>
    <s v="West Bengal"/>
    <x v="18"/>
    <x v="3"/>
    <s v="New"/>
  </r>
  <r>
    <s v="ORD100407"/>
    <x v="45"/>
    <s v="Aarav Yadav"/>
    <x v="4"/>
    <s v="Football"/>
    <x v="34"/>
    <n v="5"/>
    <n v="5160"/>
    <n v="0.14000000000000001"/>
    <n v="526.07000000000005"/>
    <s v="UPI"/>
    <s v="Bihar"/>
    <x v="5"/>
    <x v="3"/>
    <s v="Returning"/>
  </r>
  <r>
    <s v="ORD100408"/>
    <x v="124"/>
    <s v="Simran Jain"/>
    <x v="0"/>
    <s v="Mixer Grinder"/>
    <x v="0"/>
    <n v="3"/>
    <n v="11745"/>
    <n v="0.13"/>
    <n v="1775.01"/>
    <s v="Net Banking"/>
    <s v="Kerala"/>
    <x v="14"/>
    <x v="1"/>
    <s v="New"/>
  </r>
  <r>
    <s v="ORD100409"/>
    <x v="240"/>
    <s v="Priya Meena"/>
    <x v="1"/>
    <s v="Keyboard"/>
    <x v="6"/>
    <n v="4"/>
    <n v="6120"/>
    <n v="0.15"/>
    <n v="956.93"/>
    <s v="Cash on Delivery"/>
    <s v="Delhi"/>
    <x v="3"/>
    <x v="2"/>
    <s v="New"/>
  </r>
  <r>
    <s v="ORD100410"/>
    <x v="74"/>
    <s v="Karan Sharma"/>
    <x v="1"/>
    <s v="Bluetooth Speaker"/>
    <x v="11"/>
    <n v="1"/>
    <n v="3010"/>
    <n v="0.14000000000000001"/>
    <n v="491.19"/>
    <s v="Wallet"/>
    <s v="Odisha"/>
    <x v="17"/>
    <x v="3"/>
    <s v="Returning"/>
  </r>
  <r>
    <s v="ORD100411"/>
    <x v="118"/>
    <s v="Aman Jain"/>
    <x v="5"/>
    <s v="Dining Table"/>
    <x v="23"/>
    <n v="2"/>
    <n v="35640"/>
    <n v="0.19"/>
    <n v="3724.6"/>
    <s v="Net Banking"/>
    <s v="Rajasthan"/>
    <x v="7"/>
    <x v="0"/>
    <s v="Returning"/>
  </r>
  <r>
    <s v="ORD100412"/>
    <x v="241"/>
    <s v="Kavya Meena"/>
    <x v="1"/>
    <s v="Mouse"/>
    <x v="36"/>
    <n v="3"/>
    <n v="2403"/>
    <n v="0.11"/>
    <n v="373.7"/>
    <s v="Debit Card"/>
    <s v="Odisha"/>
    <x v="17"/>
    <x v="3"/>
    <s v="Returning"/>
  </r>
  <r>
    <s v="ORD100413"/>
    <x v="16"/>
    <s v="Aditya Sharma"/>
    <x v="4"/>
    <s v="Football"/>
    <x v="34"/>
    <n v="2"/>
    <n v="1920"/>
    <n v="0.2"/>
    <n v="260.26"/>
    <s v="Wallet"/>
    <s v="Haryana"/>
    <x v="8"/>
    <x v="2"/>
    <s v="Returning"/>
  </r>
  <r>
    <s v="ORD100414"/>
    <x v="13"/>
    <s v="Nisha Yadav"/>
    <x v="0"/>
    <s v="Bedsheet"/>
    <x v="21"/>
    <n v="2"/>
    <n v="2016"/>
    <n v="0.16"/>
    <n v="365.82"/>
    <s v="UPI"/>
    <s v="Rajasthan"/>
    <x v="10"/>
    <x v="0"/>
    <s v="Returning"/>
  </r>
  <r>
    <s v="ORD100415"/>
    <x v="28"/>
    <s v="Isha Jain"/>
    <x v="1"/>
    <s v="Mouse"/>
    <x v="36"/>
    <n v="1"/>
    <n v="747"/>
    <n v="0.17"/>
    <n v="115.44"/>
    <s v="Debit Card"/>
    <s v="Tamil Nadu"/>
    <x v="19"/>
    <x v="1"/>
    <s v="Returning"/>
  </r>
  <r>
    <s v="ORD100416"/>
    <x v="235"/>
    <s v="Aman Gupta"/>
    <x v="2"/>
    <s v="Jacket"/>
    <x v="2"/>
    <n v="3"/>
    <n v="7560"/>
    <n v="0.1"/>
    <n v="1190.75"/>
    <s v="Wallet"/>
    <s v="Telangana"/>
    <x v="11"/>
    <x v="1"/>
    <s v="Returning"/>
  </r>
  <r>
    <s v="ORD100417"/>
    <x v="110"/>
    <s v="Riya Kumar"/>
    <x v="2"/>
    <s v="Men T-Shirt"/>
    <x v="24"/>
    <n v="2"/>
    <n v="1404"/>
    <n v="0.22"/>
    <n v="266.5"/>
    <s v="Cash on Delivery"/>
    <s v="Madhya Pradesh"/>
    <x v="0"/>
    <x v="0"/>
    <s v="New"/>
  </r>
  <r>
    <s v="ORD100418"/>
    <x v="225"/>
    <s v="Nisha Kumawat"/>
    <x v="4"/>
    <s v="Football"/>
    <x v="34"/>
    <n v="2"/>
    <n v="2136"/>
    <n v="0.11"/>
    <n v="433.86"/>
    <s v="UPI"/>
    <s v="Tamil Nadu"/>
    <x v="19"/>
    <x v="1"/>
    <s v="Returning"/>
  </r>
  <r>
    <s v="ORD100419"/>
    <x v="7"/>
    <s v="Aditya Kumar"/>
    <x v="5"/>
    <s v="Office Chair"/>
    <x v="32"/>
    <n v="1"/>
    <n v="6150"/>
    <n v="0.18"/>
    <n v="812.79"/>
    <s v="Debit Card"/>
    <s v="Punjab"/>
    <x v="15"/>
    <x v="2"/>
    <s v="Returning"/>
  </r>
  <r>
    <s v="ORD100420"/>
    <x v="197"/>
    <s v="Aarav Jain"/>
    <x v="5"/>
    <s v="Bookshelf"/>
    <x v="10"/>
    <n v="3"/>
    <n v="12300"/>
    <n v="0.18"/>
    <n v="1215.78"/>
    <s v="Wallet"/>
    <s v="Punjab"/>
    <x v="15"/>
    <x v="2"/>
    <s v="Returning"/>
  </r>
  <r>
    <s v="ORD100421"/>
    <x v="41"/>
    <s v="Rohit Gupta"/>
    <x v="1"/>
    <s v="Mouse"/>
    <x v="36"/>
    <n v="4"/>
    <n v="3132"/>
    <n v="0.13"/>
    <n v="341.29"/>
    <s v="Net Banking"/>
    <s v="Telangana"/>
    <x v="11"/>
    <x v="1"/>
    <s v="New"/>
  </r>
  <r>
    <s v="ORD100422"/>
    <x v="242"/>
    <s v="Vivaan Jain"/>
    <x v="3"/>
    <s v="Perfume"/>
    <x v="18"/>
    <n v="1"/>
    <n v="1584"/>
    <n v="0.12"/>
    <n v="322.58"/>
    <s v="Wallet"/>
    <s v="Rajasthan"/>
    <x v="9"/>
    <x v="0"/>
    <s v="Returning"/>
  </r>
  <r>
    <s v="ORD100423"/>
    <x v="208"/>
    <s v="Simran Verma"/>
    <x v="2"/>
    <s v="Women Kurti"/>
    <x v="26"/>
    <n v="5"/>
    <n v="5670"/>
    <n v="0.19"/>
    <n v="1169.31"/>
    <s v="Cash on Delivery"/>
    <s v="Bihar"/>
    <x v="5"/>
    <x v="3"/>
    <s v="Returning"/>
  </r>
  <r>
    <s v="ORD100424"/>
    <x v="211"/>
    <s v="Isha Agarwal"/>
    <x v="0"/>
    <s v="Water Bottle"/>
    <x v="35"/>
    <n v="5"/>
    <n v="3280"/>
    <n v="0.18"/>
    <n v="554.54"/>
    <s v="Credit Card"/>
    <s v="Rajasthan"/>
    <x v="10"/>
    <x v="0"/>
    <s v="Returning"/>
  </r>
  <r>
    <s v="ORD100425"/>
    <x v="219"/>
    <s v="Kavya Jain"/>
    <x v="5"/>
    <s v="Sofa"/>
    <x v="31"/>
    <n v="3"/>
    <n v="67200"/>
    <n v="0.2"/>
    <n v="7898.17"/>
    <s v="Cash on Delivery"/>
    <s v="Gujarat"/>
    <x v="1"/>
    <x v="0"/>
    <s v="New"/>
  </r>
  <r>
    <s v="ORD100426"/>
    <x v="139"/>
    <s v="Vikas Jain"/>
    <x v="4"/>
    <s v="Football"/>
    <x v="34"/>
    <n v="3"/>
    <n v="3024"/>
    <n v="0.16"/>
    <n v="333.02"/>
    <s v="Debit Card"/>
    <s v="Rajasthan"/>
    <x v="9"/>
    <x v="0"/>
    <s v="Returning"/>
  </r>
  <r>
    <s v="ORD100427"/>
    <x v="61"/>
    <s v="Sahil Agarwal"/>
    <x v="0"/>
    <s v="Bedsheet"/>
    <x v="21"/>
    <n v="3"/>
    <n v="2844"/>
    <n v="0.21"/>
    <n v="495.33"/>
    <s v="Debit Card"/>
    <s v="Maharashtra"/>
    <x v="12"/>
    <x v="0"/>
    <s v="Returning"/>
  </r>
  <r>
    <s v="ORD100428"/>
    <x v="243"/>
    <s v="Kavya Sharma"/>
    <x v="6"/>
    <s v="Business Book"/>
    <x v="19"/>
    <n v="4"/>
    <n v="2268"/>
    <n v="0.19"/>
    <n v="530"/>
    <s v="Credit Card"/>
    <s v="Rajasthan"/>
    <x v="9"/>
    <x v="0"/>
    <s v="Returning"/>
  </r>
  <r>
    <s v="ORD100429"/>
    <x v="244"/>
    <s v="Priya Yadav"/>
    <x v="2"/>
    <s v="Jeans"/>
    <x v="8"/>
    <n v="3"/>
    <n v="4482"/>
    <n v="0.17"/>
    <n v="700.64"/>
    <s v="Wallet"/>
    <s v="Rajasthan"/>
    <x v="9"/>
    <x v="0"/>
    <s v="New"/>
  </r>
  <r>
    <s v="ORD100430"/>
    <x v="24"/>
    <s v="Nisha Sharma"/>
    <x v="2"/>
    <s v="Women Kurti"/>
    <x v="26"/>
    <n v="2"/>
    <n v="2212"/>
    <n v="0.21"/>
    <n v="514.99"/>
    <s v="Net Banking"/>
    <s v="Gujarat"/>
    <x v="1"/>
    <x v="0"/>
    <s v="Returning"/>
  </r>
  <r>
    <s v="ORD100431"/>
    <x v="89"/>
    <s v="Ananya Verma"/>
    <x v="2"/>
    <s v="Jacket"/>
    <x v="2"/>
    <n v="2"/>
    <n v="4816"/>
    <n v="0.14000000000000001"/>
    <n v="984.13"/>
    <s v="UPI"/>
    <s v="Gujarat"/>
    <x v="1"/>
    <x v="0"/>
    <s v="New"/>
  </r>
  <r>
    <s v="ORD100432"/>
    <x v="245"/>
    <s v="Kavya Yadav"/>
    <x v="0"/>
    <s v="Cookware Set"/>
    <x v="5"/>
    <n v="2"/>
    <n v="5810"/>
    <n v="0.17"/>
    <n v="1056.31"/>
    <s v="Credit Card"/>
    <s v="Rajasthan"/>
    <x v="7"/>
    <x v="0"/>
    <s v="Returning"/>
  </r>
  <r>
    <s v="ORD100433"/>
    <x v="246"/>
    <s v="Nisha Sharma"/>
    <x v="5"/>
    <s v="Bookshelf"/>
    <x v="10"/>
    <n v="2"/>
    <n v="8600"/>
    <n v="0.14000000000000001"/>
    <n v="892.6"/>
    <s v="Net Banking"/>
    <s v="Gujarat"/>
    <x v="1"/>
    <x v="0"/>
    <s v="Returning"/>
  </r>
  <r>
    <s v="ORD100434"/>
    <x v="226"/>
    <s v="Vikas Kumar"/>
    <x v="4"/>
    <s v="Cricket Bat"/>
    <x v="16"/>
    <n v="3"/>
    <n v="8925"/>
    <n v="0.15"/>
    <n v="1061.68"/>
    <s v="Credit Card"/>
    <s v="Haryana"/>
    <x v="8"/>
    <x v="2"/>
    <s v="Returning"/>
  </r>
  <r>
    <s v="ORD100435"/>
    <x v="184"/>
    <s v="Sneha Kumar"/>
    <x v="4"/>
    <s v="Football"/>
    <x v="34"/>
    <n v="2"/>
    <n v="1968"/>
    <n v="0.18"/>
    <n v="291.87"/>
    <s v="Net Banking"/>
    <s v="Punjab"/>
    <x v="15"/>
    <x v="2"/>
    <s v="New"/>
  </r>
  <r>
    <s v="ORD100436"/>
    <x v="6"/>
    <s v="Aarav Agarwal"/>
    <x v="2"/>
    <s v="Men T-Shirt"/>
    <x v="24"/>
    <n v="1"/>
    <n v="720"/>
    <n v="0.2"/>
    <n v="151.56"/>
    <s v="UPI"/>
    <s v="Telangana"/>
    <x v="11"/>
    <x v="1"/>
    <s v="Returning"/>
  </r>
  <r>
    <s v="ORD100437"/>
    <x v="247"/>
    <s v="Pooja Sharma"/>
    <x v="0"/>
    <s v="Coffee Maker"/>
    <x v="4"/>
    <n v="2"/>
    <n v="9200"/>
    <n v="0.08"/>
    <n v="1349.41"/>
    <s v="Net Banking"/>
    <s v="Punjab"/>
    <x v="15"/>
    <x v="2"/>
    <s v="Returning"/>
  </r>
  <r>
    <s v="ORD100438"/>
    <x v="141"/>
    <s v="Pooja Sharma"/>
    <x v="6"/>
    <s v="Business Book"/>
    <x v="19"/>
    <n v="2"/>
    <n v="1120"/>
    <n v="0.2"/>
    <n v="219.12"/>
    <s v="Credit Card"/>
    <s v="Rajasthan"/>
    <x v="9"/>
    <x v="0"/>
    <s v="Returning"/>
  </r>
  <r>
    <s v="ORD100439"/>
    <x v="104"/>
    <s v="Nisha Meena"/>
    <x v="0"/>
    <s v="Cookware Set"/>
    <x v="5"/>
    <n v="2"/>
    <n v="5460"/>
    <n v="0.22"/>
    <n v="887.13"/>
    <s v="Cash on Delivery"/>
    <s v="Bihar"/>
    <x v="5"/>
    <x v="3"/>
    <s v="New"/>
  </r>
  <r>
    <s v="ORD100440"/>
    <x v="117"/>
    <s v="Neha Singh"/>
    <x v="6"/>
    <s v="Business Book"/>
    <x v="19"/>
    <n v="1"/>
    <n v="525"/>
    <n v="0.25"/>
    <n v="85.42"/>
    <s v="Cash on Delivery"/>
    <s v="Karnataka"/>
    <x v="2"/>
    <x v="1"/>
    <s v="Returning"/>
  </r>
  <r>
    <s v="ORD100441"/>
    <x v="190"/>
    <s v="Isha Yadav"/>
    <x v="1"/>
    <s v="Laptop"/>
    <x v="25"/>
    <n v="1"/>
    <n v="51700"/>
    <n v="0.06"/>
    <n v="3894.37"/>
    <s v="Net Banking"/>
    <s v="Odisha"/>
    <x v="17"/>
    <x v="3"/>
    <s v="Returning"/>
  </r>
  <r>
    <s v="ORD100442"/>
    <x v="229"/>
    <s v="Karan Verma"/>
    <x v="3"/>
    <s v="Perfume"/>
    <x v="18"/>
    <n v="1"/>
    <n v="1602"/>
    <n v="0.11"/>
    <n v="317.26"/>
    <s v="Debit Card"/>
    <s v="Tamil Nadu"/>
    <x v="19"/>
    <x v="1"/>
    <s v="New"/>
  </r>
  <r>
    <s v="ORD100443"/>
    <x v="248"/>
    <s v="Aman Kumar"/>
    <x v="1"/>
    <s v="Keyboard"/>
    <x v="6"/>
    <n v="3"/>
    <n v="4968"/>
    <n v="0.08"/>
    <n v="563.47"/>
    <s v="Debit Card"/>
    <s v="Karnataka"/>
    <x v="2"/>
    <x v="1"/>
    <s v="Returning"/>
  </r>
  <r>
    <s v="ORD100444"/>
    <x v="249"/>
    <s v="Rohit Kumar"/>
    <x v="3"/>
    <s v="Skin Care Kit"/>
    <x v="20"/>
    <n v="3"/>
    <n v="5412"/>
    <n v="0.18"/>
    <n v="940.75"/>
    <s v="Net Banking"/>
    <s v="Bihar"/>
    <x v="5"/>
    <x v="3"/>
    <s v="Returning"/>
  </r>
  <r>
    <s v="ORD100445"/>
    <x v="250"/>
    <s v="Ananya Verma"/>
    <x v="2"/>
    <s v="Jeans"/>
    <x v="8"/>
    <n v="2"/>
    <n v="2880"/>
    <n v="0.2"/>
    <n v="484.32"/>
    <s v="Credit Card"/>
    <s v="Punjab"/>
    <x v="15"/>
    <x v="2"/>
    <s v="New"/>
  </r>
  <r>
    <s v="ORD100446"/>
    <x v="70"/>
    <s v="Rahul Kumawat"/>
    <x v="1"/>
    <s v="Bluetooth Speaker"/>
    <x v="11"/>
    <n v="3"/>
    <n v="9030"/>
    <n v="0.14000000000000001"/>
    <n v="1178.33"/>
    <s v="Debit Card"/>
    <s v="Haryana"/>
    <x v="8"/>
    <x v="2"/>
    <s v="Returning"/>
  </r>
  <r>
    <s v="ORD100447"/>
    <x v="2"/>
    <s v="Rohit Singh"/>
    <x v="1"/>
    <s v="Laptop"/>
    <x v="25"/>
    <n v="2"/>
    <n v="93500"/>
    <n v="0.15"/>
    <n v="7787.76"/>
    <s v="Debit Card"/>
    <s v="Bihar"/>
    <x v="5"/>
    <x v="3"/>
    <s v="Returning"/>
  </r>
  <r>
    <s v="ORD100448"/>
    <x v="153"/>
    <s v="Aditya Agarwal"/>
    <x v="5"/>
    <s v="Sofa"/>
    <x v="31"/>
    <n v="3"/>
    <n v="73920"/>
    <n v="0.12"/>
    <n v="4866.28"/>
    <s v="UPI"/>
    <s v="Haryana"/>
    <x v="8"/>
    <x v="2"/>
    <s v="Returning"/>
  </r>
  <r>
    <s v="ORD100449"/>
    <x v="179"/>
    <s v="Simran Gupta"/>
    <x v="2"/>
    <s v="Jeans"/>
    <x v="8"/>
    <n v="4"/>
    <n v="5976"/>
    <n v="0.17"/>
    <n v="1025.1099999999999"/>
    <s v="UPI"/>
    <s v="Karnataka"/>
    <x v="2"/>
    <x v="1"/>
    <s v="Returning"/>
  </r>
  <r>
    <s v="ORD100450"/>
    <x v="126"/>
    <s v="Ananya Kumawat"/>
    <x v="4"/>
    <s v="Cricket Bat"/>
    <x v="16"/>
    <n v="3"/>
    <n v="9240"/>
    <n v="0.12"/>
    <n v="1165.96"/>
    <s v="Debit Card"/>
    <s v="Uttar Pradesh"/>
    <x v="16"/>
    <x v="2"/>
    <s v="New"/>
  </r>
  <r>
    <s v="ORD100451"/>
    <x v="62"/>
    <s v="Neha Gupta"/>
    <x v="1"/>
    <s v="Keyboard"/>
    <x v="6"/>
    <n v="3"/>
    <n v="4698"/>
    <n v="0.13"/>
    <n v="497.04"/>
    <s v="Cash on Delivery"/>
    <s v="Rajasthan"/>
    <x v="9"/>
    <x v="0"/>
    <s v="New"/>
  </r>
  <r>
    <s v="ORD100452"/>
    <x v="49"/>
    <s v="Sahil Kumar"/>
    <x v="5"/>
    <s v="Bookshelf"/>
    <x v="10"/>
    <n v="1"/>
    <n v="4250"/>
    <n v="0.15"/>
    <n v="578.54999999999995"/>
    <s v="Credit Card"/>
    <s v="Tamil Nadu"/>
    <x v="19"/>
    <x v="1"/>
    <s v="Returning"/>
  </r>
  <r>
    <s v="ORD100453"/>
    <x v="92"/>
    <s v="Pooja Verma"/>
    <x v="1"/>
    <s v="Smartphone"/>
    <x v="22"/>
    <n v="5"/>
    <n v="106250"/>
    <n v="0.15"/>
    <n v="7912.54"/>
    <s v="Wallet"/>
    <s v="Punjab"/>
    <x v="15"/>
    <x v="2"/>
    <s v="Returning"/>
  </r>
  <r>
    <s v="ORD100454"/>
    <x v="12"/>
    <s v="Priya Sharma"/>
    <x v="0"/>
    <s v="Coffee Maker"/>
    <x v="4"/>
    <n v="3"/>
    <n v="13200"/>
    <n v="0.12"/>
    <n v="1776.58"/>
    <s v="Cash on Delivery"/>
    <s v="Karnataka"/>
    <x v="2"/>
    <x v="1"/>
    <s v="Returning"/>
  </r>
  <r>
    <s v="ORD100455"/>
    <x v="137"/>
    <s v="Sneha Gupta"/>
    <x v="0"/>
    <s v="Air Fryer"/>
    <x v="15"/>
    <n v="5"/>
    <n v="27625"/>
    <n v="0.15"/>
    <n v="3570.27"/>
    <s v="Net Banking"/>
    <s v="Maharashtra"/>
    <x v="12"/>
    <x v="0"/>
    <s v="New"/>
  </r>
  <r>
    <s v="ORD100456"/>
    <x v="144"/>
    <s v="Sneha Verma"/>
    <x v="5"/>
    <s v="Dining Table"/>
    <x v="23"/>
    <n v="5"/>
    <n v="92400"/>
    <n v="0.16"/>
    <n v="7952.16"/>
    <s v="Net Banking"/>
    <s v="Goa"/>
    <x v="13"/>
    <x v="0"/>
    <s v="Returning"/>
  </r>
  <r>
    <s v="ORD100457"/>
    <x v="111"/>
    <s v="Rohit Verma"/>
    <x v="0"/>
    <s v="Air Fryer"/>
    <x v="15"/>
    <n v="1"/>
    <n v="5395"/>
    <n v="0.17"/>
    <n v="531.47"/>
    <s v="Debit Card"/>
    <s v="Bihar"/>
    <x v="5"/>
    <x v="3"/>
    <s v="Returning"/>
  </r>
  <r>
    <s v="ORD100458"/>
    <x v="251"/>
    <s v="Arjun Meena"/>
    <x v="6"/>
    <s v="Novel"/>
    <x v="14"/>
    <n v="4"/>
    <n v="1560"/>
    <n v="0.22"/>
    <n v="256.3"/>
    <s v="Cash on Delivery"/>
    <s v="Gujarat"/>
    <x v="1"/>
    <x v="0"/>
    <s v="New"/>
  </r>
  <r>
    <s v="ORD100459"/>
    <x v="54"/>
    <s v="Nisha Agarwal"/>
    <x v="1"/>
    <s v="Headphones"/>
    <x v="30"/>
    <n v="1"/>
    <n v="2225"/>
    <n v="0.11"/>
    <n v="293.10000000000002"/>
    <s v="Net Banking"/>
    <s v="Uttar Pradesh"/>
    <x v="6"/>
    <x v="2"/>
    <s v="Returning"/>
  </r>
  <r>
    <s v="ORD100460"/>
    <x v="252"/>
    <s v="Arjun Kumar"/>
    <x v="5"/>
    <s v="Office Chair"/>
    <x v="32"/>
    <n v="5"/>
    <n v="32250"/>
    <n v="0.14000000000000001"/>
    <n v="4202.5600000000004"/>
    <s v="Wallet"/>
    <s v="Uttar Pradesh"/>
    <x v="16"/>
    <x v="2"/>
    <s v="New"/>
  </r>
  <r>
    <s v="ORD100461"/>
    <x v="54"/>
    <s v="Simran Gupta"/>
    <x v="1"/>
    <s v="Smartphone"/>
    <x v="22"/>
    <n v="2"/>
    <n v="40500"/>
    <n v="0.19"/>
    <n v="3084.66"/>
    <s v="Wallet"/>
    <s v="Telangana"/>
    <x v="11"/>
    <x v="1"/>
    <s v="Returning"/>
  </r>
  <r>
    <s v="ORD100462"/>
    <x v="253"/>
    <s v="Neha Jain"/>
    <x v="5"/>
    <s v="Bookshelf"/>
    <x v="10"/>
    <n v="3"/>
    <n v="12300"/>
    <n v="0.18"/>
    <n v="1093.5"/>
    <s v="Credit Card"/>
    <s v="Tamil Nadu"/>
    <x v="19"/>
    <x v="1"/>
    <s v="Returning"/>
  </r>
  <r>
    <s v="ORD100463"/>
    <x v="47"/>
    <s v="Isha Sharma"/>
    <x v="4"/>
    <s v="Badminton Racket"/>
    <x v="9"/>
    <n v="1"/>
    <n v="1440"/>
    <n v="0.2"/>
    <n v="238.94"/>
    <s v="Credit Card"/>
    <s v="Delhi"/>
    <x v="3"/>
    <x v="2"/>
    <s v="Returning"/>
  </r>
  <r>
    <s v="ORD100464"/>
    <x v="239"/>
    <s v="Arjun Singh"/>
    <x v="5"/>
    <s v="Bookshelf"/>
    <x v="10"/>
    <n v="1"/>
    <n v="3950"/>
    <n v="0.21"/>
    <n v="318.17"/>
    <s v="Wallet"/>
    <s v="Telangana"/>
    <x v="11"/>
    <x v="1"/>
    <s v="Returning"/>
  </r>
  <r>
    <s v="ORD100465"/>
    <x v="153"/>
    <s v="Isha Kumar"/>
    <x v="4"/>
    <s v="Cricket Bat"/>
    <x v="16"/>
    <n v="2"/>
    <n v="5810"/>
    <n v="0.17"/>
    <n v="760.26"/>
    <s v="Cash on Delivery"/>
    <s v="Uttar Pradesh"/>
    <x v="16"/>
    <x v="2"/>
    <s v="Returning"/>
  </r>
  <r>
    <s v="ORD100466"/>
    <x v="71"/>
    <s v="Karan Sharma"/>
    <x v="6"/>
    <s v="Data Analytics Book"/>
    <x v="12"/>
    <n v="2"/>
    <n v="1944"/>
    <n v="0.19"/>
    <n v="321.35000000000002"/>
    <s v="Credit Card"/>
    <s v="Goa"/>
    <x v="13"/>
    <x v="0"/>
    <s v="New"/>
  </r>
  <r>
    <s v="ORD100467"/>
    <x v="254"/>
    <s v="Vikas Kumar"/>
    <x v="3"/>
    <s v="Face Wash"/>
    <x v="3"/>
    <n v="4"/>
    <n v="1458"/>
    <n v="0.19"/>
    <n v="281.89"/>
    <s v="Credit Card"/>
    <s v="West Bengal"/>
    <x v="18"/>
    <x v="3"/>
    <s v="New"/>
  </r>
  <r>
    <s v="ORD100468"/>
    <x v="151"/>
    <s v="Sahil Agarwal"/>
    <x v="0"/>
    <s v="Bedsheet"/>
    <x v="21"/>
    <n v="3"/>
    <n v="3096"/>
    <n v="0.14000000000000001"/>
    <n v="674.26"/>
    <s v="Wallet"/>
    <s v="Maharashtra"/>
    <x v="4"/>
    <x v="0"/>
    <s v="New"/>
  </r>
  <r>
    <s v="ORD100469"/>
    <x v="148"/>
    <s v="Vivaan Agarwal"/>
    <x v="1"/>
    <s v="Smartphone"/>
    <x v="22"/>
    <n v="2"/>
    <n v="41000"/>
    <n v="0.18"/>
    <n v="6099.92"/>
    <s v="Wallet"/>
    <s v="Uttar Pradesh"/>
    <x v="16"/>
    <x v="2"/>
    <s v="Returning"/>
  </r>
  <r>
    <s v="ORD100470"/>
    <x v="224"/>
    <s v="Riya Jain"/>
    <x v="5"/>
    <s v="Sofa"/>
    <x v="31"/>
    <n v="2"/>
    <n v="43680"/>
    <n v="0.22"/>
    <n v="3567.39"/>
    <s v="Wallet"/>
    <s v="Maharashtra"/>
    <x v="4"/>
    <x v="0"/>
    <s v="Returning"/>
  </r>
  <r>
    <s v="ORD100471"/>
    <x v="255"/>
    <s v="Arjun Jain"/>
    <x v="4"/>
    <s v="Badminton Racket"/>
    <x v="9"/>
    <n v="1"/>
    <n v="1494"/>
    <n v="0.17"/>
    <n v="265.26"/>
    <s v="Debit Card"/>
    <s v="Gujarat"/>
    <x v="1"/>
    <x v="0"/>
    <s v="Returning"/>
  </r>
  <r>
    <s v="ORD100472"/>
    <x v="256"/>
    <s v="Kavya Gupta"/>
    <x v="5"/>
    <s v="Bed"/>
    <x v="27"/>
    <n v="3"/>
    <n v="69300"/>
    <n v="0.23"/>
    <n v="4079.01"/>
    <s v="Net Banking"/>
    <s v="Odisha"/>
    <x v="17"/>
    <x v="3"/>
    <s v="Returning"/>
  </r>
  <r>
    <s v="ORD100473"/>
    <x v="95"/>
    <s v="Isha Agarwal"/>
    <x v="6"/>
    <s v="Programming Book"/>
    <x v="13"/>
    <n v="2"/>
    <n v="1458"/>
    <n v="0.19"/>
    <n v="230.62"/>
    <s v="Debit Card"/>
    <s v="Punjab"/>
    <x v="15"/>
    <x v="2"/>
    <s v="New"/>
  </r>
  <r>
    <s v="ORD100474"/>
    <x v="155"/>
    <s v="Aarav Gupta"/>
    <x v="6"/>
    <s v="Business Book"/>
    <x v="19"/>
    <n v="1"/>
    <n v="574"/>
    <n v="0.18"/>
    <n v="111.61"/>
    <s v="Net Banking"/>
    <s v="Punjab"/>
    <x v="15"/>
    <x v="2"/>
    <s v="New"/>
  </r>
  <r>
    <s v="ORD100475"/>
    <x v="82"/>
    <s v="Nisha Singh"/>
    <x v="5"/>
    <s v="Office Chair"/>
    <x v="32"/>
    <n v="2"/>
    <n v="12600"/>
    <n v="0.16"/>
    <n v="2014.4"/>
    <s v="Net Banking"/>
    <s v="Rajasthan"/>
    <x v="9"/>
    <x v="0"/>
    <s v="Returning"/>
  </r>
  <r>
    <s v="ORD100476"/>
    <x v="253"/>
    <s v="Karan Yadav"/>
    <x v="0"/>
    <s v="Bedsheet"/>
    <x v="21"/>
    <n v="3"/>
    <n v="2952"/>
    <n v="0.18"/>
    <n v="526.04"/>
    <s v="Debit Card"/>
    <s v="Karnataka"/>
    <x v="2"/>
    <x v="1"/>
    <s v="Returning"/>
  </r>
  <r>
    <s v="ORD100477"/>
    <x v="103"/>
    <s v="Ananya Singh"/>
    <x v="1"/>
    <s v="Laptop"/>
    <x v="25"/>
    <n v="1"/>
    <n v="47300"/>
    <n v="0.14000000000000001"/>
    <n v="5634.64"/>
    <s v="Net Banking"/>
    <s v="Punjab"/>
    <x v="15"/>
    <x v="2"/>
    <s v="New"/>
  </r>
  <r>
    <s v="ORD100478"/>
    <x v="159"/>
    <s v="Aarav Singh"/>
    <x v="6"/>
    <s v="Business Book"/>
    <x v="19"/>
    <n v="2"/>
    <n v="1008"/>
    <n v="0.28000000000000003"/>
    <n v="209.23"/>
    <s v="Cash on Delivery"/>
    <s v="Bihar"/>
    <x v="5"/>
    <x v="3"/>
    <s v="New"/>
  </r>
  <r>
    <s v="ORD100479"/>
    <x v="257"/>
    <s v="Aman Verma"/>
    <x v="0"/>
    <s v="Water Bottle"/>
    <x v="35"/>
    <n v="2"/>
    <n v="1280"/>
    <n v="0.2"/>
    <n v="224.92"/>
    <s v="Cash on Delivery"/>
    <s v="Bihar"/>
    <x v="5"/>
    <x v="3"/>
    <s v="New"/>
  </r>
  <r>
    <s v="ORD100480"/>
    <x v="180"/>
    <s v="Nisha Gupta"/>
    <x v="2"/>
    <s v="Women Kurti"/>
    <x v="26"/>
    <n v="1"/>
    <n v="1106"/>
    <n v="0.21"/>
    <n v="168.58"/>
    <s v="Debit Card"/>
    <s v="Karnataka"/>
    <x v="2"/>
    <x v="1"/>
    <s v="Returning"/>
  </r>
  <r>
    <s v="ORD100481"/>
    <x v="135"/>
    <s v="Neha Agarwal"/>
    <x v="0"/>
    <s v="Water Bottle"/>
    <x v="35"/>
    <n v="3"/>
    <n v="1920"/>
    <n v="0.2"/>
    <n v="366.78"/>
    <s v="Debit Card"/>
    <s v="Odisha"/>
    <x v="17"/>
    <x v="3"/>
    <s v="Returning"/>
  </r>
  <r>
    <s v="ORD100482"/>
    <x v="94"/>
    <s v="Sahil Meena"/>
    <x v="0"/>
    <s v="Water Bottle"/>
    <x v="35"/>
    <n v="2"/>
    <n v="1328"/>
    <n v="0.17"/>
    <n v="203.2"/>
    <s v="Cash on Delivery"/>
    <s v="Uttar Pradesh"/>
    <x v="16"/>
    <x v="2"/>
    <s v="New"/>
  </r>
  <r>
    <s v="ORD100483"/>
    <x v="125"/>
    <s v="Aditya Jain"/>
    <x v="1"/>
    <s v="Keyboard"/>
    <x v="6"/>
    <n v="3"/>
    <n v="4806"/>
    <n v="0.11"/>
    <n v="606.88"/>
    <s v="Wallet"/>
    <s v="Gujarat"/>
    <x v="1"/>
    <x v="0"/>
    <s v="Returning"/>
  </r>
  <r>
    <s v="ORD100484"/>
    <x v="34"/>
    <s v="Neha Singh"/>
    <x v="6"/>
    <s v="Data Analytics Book"/>
    <x v="12"/>
    <n v="2"/>
    <n v="1992"/>
    <n v="0.17"/>
    <n v="370.73"/>
    <s v="Wallet"/>
    <s v="Goa"/>
    <x v="13"/>
    <x v="0"/>
    <s v="Returning"/>
  </r>
  <r>
    <s v="ORD100485"/>
    <x v="63"/>
    <s v="Neha Sharma"/>
    <x v="5"/>
    <s v="Bookshelf"/>
    <x v="10"/>
    <n v="2"/>
    <n v="7800"/>
    <n v="0.22"/>
    <n v="906.67"/>
    <s v="Cash on Delivery"/>
    <s v="Kerala"/>
    <x v="14"/>
    <x v="1"/>
    <s v="New"/>
  </r>
  <r>
    <s v="ORD100486"/>
    <x v="258"/>
    <s v="Sneha Agarwal"/>
    <x v="2"/>
    <s v="Jacket"/>
    <x v="2"/>
    <n v="2"/>
    <n v="4648"/>
    <n v="0.17"/>
    <n v="782.8"/>
    <s v="Wallet"/>
    <s v="Odisha"/>
    <x v="17"/>
    <x v="3"/>
    <s v="New"/>
  </r>
  <r>
    <s v="ORD100487"/>
    <x v="7"/>
    <s v="Isha Singh"/>
    <x v="4"/>
    <s v="Cricket Bat"/>
    <x v="16"/>
    <n v="2"/>
    <n v="6230"/>
    <n v="0.11"/>
    <n v="897.22"/>
    <s v="Wallet"/>
    <s v="Madhya Pradesh"/>
    <x v="0"/>
    <x v="0"/>
    <s v="Returning"/>
  </r>
  <r>
    <s v="ORD100488"/>
    <x v="234"/>
    <s v="Sneha Gupta"/>
    <x v="2"/>
    <s v="Jeans"/>
    <x v="8"/>
    <n v="4"/>
    <n v="5832"/>
    <n v="0.19"/>
    <n v="1124.24"/>
    <s v="UPI"/>
    <s v="Kerala"/>
    <x v="14"/>
    <x v="1"/>
    <s v="New"/>
  </r>
  <r>
    <s v="ORD100489"/>
    <x v="259"/>
    <s v="Sahil Kumawat"/>
    <x v="3"/>
    <s v="Shampoo"/>
    <x v="33"/>
    <n v="2"/>
    <n v="1105"/>
    <n v="0.15"/>
    <n v="173.94"/>
    <s v="Cash on Delivery"/>
    <s v="Rajasthan"/>
    <x v="9"/>
    <x v="0"/>
    <s v="New"/>
  </r>
  <r>
    <s v="ORD100490"/>
    <x v="260"/>
    <s v="Arjun Meena"/>
    <x v="1"/>
    <s v="Headphones"/>
    <x v="30"/>
    <n v="1"/>
    <n v="2125"/>
    <n v="0.15"/>
    <n v="275.85000000000002"/>
    <s v="Net Banking"/>
    <s v="Rajasthan"/>
    <x v="7"/>
    <x v="0"/>
    <s v="New"/>
  </r>
  <r>
    <s v="ORD100491"/>
    <x v="3"/>
    <s v="Arjun Kumar"/>
    <x v="3"/>
    <s v="Shampoo"/>
    <x v="33"/>
    <n v="4"/>
    <n v="2288"/>
    <n v="0.12"/>
    <n v="343.04"/>
    <s v="Debit Card"/>
    <s v="Karnataka"/>
    <x v="2"/>
    <x v="1"/>
    <s v="New"/>
  </r>
  <r>
    <s v="ORD100492"/>
    <x v="202"/>
    <s v="Arjun Gupta"/>
    <x v="3"/>
    <s v="Face Wash"/>
    <x v="3"/>
    <n v="3"/>
    <n v="1147.5"/>
    <n v="0.15"/>
    <n v="206.89"/>
    <s v="Credit Card"/>
    <s v="Uttar Pradesh"/>
    <x v="6"/>
    <x v="2"/>
    <s v="Returning"/>
  </r>
  <r>
    <s v="ORD100493"/>
    <x v="167"/>
    <s v="Priya Verma"/>
    <x v="3"/>
    <s v="Face Wash"/>
    <x v="3"/>
    <n v="2"/>
    <n v="702"/>
    <n v="0.22"/>
    <n v="108.5"/>
    <s v="Wallet"/>
    <s v="Bihar"/>
    <x v="5"/>
    <x v="3"/>
    <s v="Returning"/>
  </r>
  <r>
    <s v="ORD100494"/>
    <x v="261"/>
    <s v="Karan Jain"/>
    <x v="0"/>
    <s v="Water Bottle"/>
    <x v="35"/>
    <n v="2"/>
    <n v="1264"/>
    <n v="0.21"/>
    <n v="212.06"/>
    <s v="UPI"/>
    <s v="Delhi"/>
    <x v="3"/>
    <x v="2"/>
    <s v="Returning"/>
  </r>
  <r>
    <s v="ORD100495"/>
    <x v="262"/>
    <s v="Priya Yadav"/>
    <x v="4"/>
    <s v="Yoga Mat"/>
    <x v="17"/>
    <n v="2"/>
    <n v="1314"/>
    <n v="0.27"/>
    <n v="209.19"/>
    <s v="Wallet"/>
    <s v="West Bengal"/>
    <x v="18"/>
    <x v="3"/>
    <s v="Returning"/>
  </r>
  <r>
    <s v="ORD100496"/>
    <x v="133"/>
    <s v="Aditya Yadav"/>
    <x v="0"/>
    <s v="Cookware Set"/>
    <x v="5"/>
    <n v="2"/>
    <n v="5950"/>
    <n v="0.15"/>
    <n v="676.9"/>
    <s v="Cash on Delivery"/>
    <s v="Uttar Pradesh"/>
    <x v="6"/>
    <x v="2"/>
    <s v="New"/>
  </r>
  <r>
    <s v="ORD100497"/>
    <x v="94"/>
    <s v="Riya Verma"/>
    <x v="3"/>
    <s v="Skin Care Kit"/>
    <x v="20"/>
    <n v="3"/>
    <n v="5346"/>
    <n v="0.19"/>
    <n v="883.82"/>
    <s v="Credit Card"/>
    <s v="Gujarat"/>
    <x v="1"/>
    <x v="0"/>
    <s v="New"/>
  </r>
  <r>
    <s v="ORD100498"/>
    <x v="111"/>
    <s v="Kavya Yadav"/>
    <x v="3"/>
    <s v="Perfume"/>
    <x v="18"/>
    <n v="1"/>
    <n v="1440"/>
    <n v="0.2"/>
    <n v="343.27"/>
    <s v="Wallet"/>
    <s v="Bihar"/>
    <x v="5"/>
    <x v="3"/>
    <s v="Returning"/>
  </r>
  <r>
    <s v="ORD100499"/>
    <x v="18"/>
    <s v="Rahul Kumawat"/>
    <x v="4"/>
    <s v="Badminton Racket"/>
    <x v="9"/>
    <n v="5"/>
    <n v="8280"/>
    <n v="0.08"/>
    <n v="1395.52"/>
    <s v="Net Banking"/>
    <s v="Delhi"/>
    <x v="3"/>
    <x v="2"/>
    <s v="New"/>
  </r>
  <r>
    <s v="ORD100500"/>
    <x v="242"/>
    <s v="Sneha Singh"/>
    <x v="5"/>
    <s v="Study Table"/>
    <x v="28"/>
    <n v="1"/>
    <n v="5460"/>
    <n v="0.16"/>
    <n v="578.67999999999995"/>
    <s v="Net Banking"/>
    <s v="Bihar"/>
    <x v="5"/>
    <x v="3"/>
    <s v="New"/>
  </r>
  <r>
    <s v="ORD100501"/>
    <x v="119"/>
    <s v="Aditya Jain"/>
    <x v="0"/>
    <s v="Bedsheet"/>
    <x v="21"/>
    <n v="2"/>
    <n v="1872"/>
    <n v="0.22"/>
    <n v="446.97"/>
    <s v="UPI"/>
    <s v="Rajasthan"/>
    <x v="7"/>
    <x v="0"/>
    <s v="Returning"/>
  </r>
  <r>
    <s v="ORD100502"/>
    <x v="263"/>
    <s v="Ananya Gupta"/>
    <x v="0"/>
    <s v="Mixer Grinder"/>
    <x v="0"/>
    <n v="3"/>
    <n v="10665"/>
    <n v="0.21"/>
    <n v="1545.46"/>
    <s v="Credit Card"/>
    <s v="Rajasthan"/>
    <x v="10"/>
    <x v="0"/>
    <s v="New"/>
  </r>
  <r>
    <s v="ORD100503"/>
    <x v="259"/>
    <s v="Kavya Jain"/>
    <x v="5"/>
    <s v="Sofa"/>
    <x v="31"/>
    <n v="4"/>
    <n v="96320"/>
    <n v="0.14000000000000001"/>
    <n v="9920"/>
    <s v="Wallet"/>
    <s v="Uttar Pradesh"/>
    <x v="6"/>
    <x v="2"/>
    <s v="Returning"/>
  </r>
  <r>
    <s v="ORD100504"/>
    <x v="167"/>
    <s v="Neha Agarwal"/>
    <x v="5"/>
    <s v="Dining Table"/>
    <x v="23"/>
    <n v="1"/>
    <n v="18700"/>
    <n v="0.15"/>
    <n v="2291.89"/>
    <s v="Debit Card"/>
    <s v="Madhya Pradesh"/>
    <x v="0"/>
    <x v="0"/>
    <s v="New"/>
  </r>
  <r>
    <s v="ORD100505"/>
    <x v="140"/>
    <s v="Karan Verma"/>
    <x v="4"/>
    <s v="Yoga Mat"/>
    <x v="17"/>
    <n v="2"/>
    <n v="1440"/>
    <n v="0.2"/>
    <n v="277.47000000000003"/>
    <s v="Wallet"/>
    <s v="Karnataka"/>
    <x v="2"/>
    <x v="1"/>
    <s v="Returning"/>
  </r>
  <r>
    <s v="ORD100506"/>
    <x v="220"/>
    <s v="Pooja Gupta"/>
    <x v="0"/>
    <s v="Bedsheet"/>
    <x v="21"/>
    <n v="2"/>
    <n v="2064"/>
    <n v="0.14000000000000001"/>
    <n v="377.06"/>
    <s v="Net Banking"/>
    <s v="Uttar Pradesh"/>
    <x v="16"/>
    <x v="2"/>
    <s v="Returning"/>
  </r>
  <r>
    <s v="ORD100507"/>
    <x v="58"/>
    <s v="Sneha Kumar"/>
    <x v="5"/>
    <s v="Bookshelf"/>
    <x v="10"/>
    <n v="1"/>
    <n v="4150"/>
    <n v="0.17"/>
    <n v="461.81"/>
    <s v="UPI"/>
    <s v="West Bengal"/>
    <x v="18"/>
    <x v="3"/>
    <s v="New"/>
  </r>
  <r>
    <s v="ORD100508"/>
    <x v="62"/>
    <s v="Simran Yadav"/>
    <x v="2"/>
    <s v="Jeans"/>
    <x v="8"/>
    <n v="3"/>
    <n v="4536"/>
    <n v="0.16"/>
    <n v="938.71"/>
    <s v="Debit Card"/>
    <s v="Rajasthan"/>
    <x v="10"/>
    <x v="0"/>
    <s v="Returning"/>
  </r>
  <r>
    <s v="ORD100509"/>
    <x v="23"/>
    <s v="Nisha Sharma"/>
    <x v="3"/>
    <s v="Face Wash"/>
    <x v="3"/>
    <n v="1"/>
    <n v="364.5"/>
    <n v="0.19"/>
    <n v="55.86"/>
    <s v="Wallet"/>
    <s v="Karnataka"/>
    <x v="2"/>
    <x v="1"/>
    <s v="Returning"/>
  </r>
  <r>
    <s v="ORD100510"/>
    <x v="264"/>
    <s v="Kavya Singh"/>
    <x v="1"/>
    <s v="Mouse"/>
    <x v="36"/>
    <n v="3"/>
    <n v="2349"/>
    <n v="0.13"/>
    <n v="283.41000000000003"/>
    <s v="Debit Card"/>
    <s v="Uttar Pradesh"/>
    <x v="6"/>
    <x v="2"/>
    <s v="Returning"/>
  </r>
  <r>
    <s v="ORD100511"/>
    <x v="265"/>
    <s v="Neha Kumar"/>
    <x v="0"/>
    <s v="Mixer Grinder"/>
    <x v="0"/>
    <n v="1"/>
    <n v="4050"/>
    <n v="0.1"/>
    <n v="584.5"/>
    <s v="Cash on Delivery"/>
    <s v="Bihar"/>
    <x v="5"/>
    <x v="3"/>
    <s v="Returning"/>
  </r>
  <r>
    <s v="ORD100512"/>
    <x v="266"/>
    <s v="Simran Jain"/>
    <x v="1"/>
    <s v="Keyboard"/>
    <x v="6"/>
    <n v="1"/>
    <n v="1512"/>
    <n v="0.16"/>
    <n v="192.51"/>
    <s v="Net Banking"/>
    <s v="Haryana"/>
    <x v="8"/>
    <x v="2"/>
    <s v="Returning"/>
  </r>
  <r>
    <s v="ORD100513"/>
    <x v="265"/>
    <s v="Karan Sharma"/>
    <x v="0"/>
    <s v="Bedsheet"/>
    <x v="21"/>
    <n v="2"/>
    <n v="2040"/>
    <n v="0.15"/>
    <n v="375.76"/>
    <s v="UPI"/>
    <s v="Kerala"/>
    <x v="14"/>
    <x v="1"/>
    <s v="New"/>
  </r>
  <r>
    <s v="ORD100514"/>
    <x v="55"/>
    <s v="Rohit Meena"/>
    <x v="5"/>
    <s v="Bed"/>
    <x v="27"/>
    <n v="1"/>
    <n v="25200"/>
    <n v="0.16"/>
    <n v="2229.04"/>
    <s v="UPI"/>
    <s v="Kerala"/>
    <x v="14"/>
    <x v="1"/>
    <s v="Returning"/>
  </r>
  <r>
    <s v="ORD100515"/>
    <x v="267"/>
    <s v="Pooja Singh"/>
    <x v="1"/>
    <s v="Laptop"/>
    <x v="25"/>
    <n v="2"/>
    <n v="99000"/>
    <n v="0.1"/>
    <n v="7452.25"/>
    <s v="Credit Card"/>
    <s v="Uttar Pradesh"/>
    <x v="6"/>
    <x v="2"/>
    <s v="New"/>
  </r>
  <r>
    <s v="ORD100516"/>
    <x v="227"/>
    <s v="Kavya Kumar"/>
    <x v="0"/>
    <s v="Water Bottle"/>
    <x v="35"/>
    <n v="3"/>
    <n v="1800"/>
    <n v="0.25"/>
    <n v="304.26"/>
    <s v="UPI"/>
    <s v="Madhya Pradesh"/>
    <x v="0"/>
    <x v="0"/>
    <s v="New"/>
  </r>
  <r>
    <s v="ORD100517"/>
    <x v="37"/>
    <s v="Sahil Singh"/>
    <x v="0"/>
    <s v="Cookware Set"/>
    <x v="5"/>
    <n v="1"/>
    <n v="2695"/>
    <n v="0.23"/>
    <n v="312"/>
    <s v="UPI"/>
    <s v="Gujarat"/>
    <x v="1"/>
    <x v="0"/>
    <s v="New"/>
  </r>
  <r>
    <s v="ORD100518"/>
    <x v="268"/>
    <s v="Aman Kumawat"/>
    <x v="4"/>
    <s v="Cricket Bat"/>
    <x v="16"/>
    <n v="4"/>
    <n v="12320"/>
    <n v="0.12"/>
    <n v="1565.22"/>
    <s v="Net Banking"/>
    <s v="Goa"/>
    <x v="13"/>
    <x v="0"/>
    <s v="New"/>
  </r>
  <r>
    <s v="ORD100519"/>
    <x v="6"/>
    <s v="Sneha Verma"/>
    <x v="5"/>
    <s v="Office Chair"/>
    <x v="32"/>
    <n v="4"/>
    <n v="25800"/>
    <n v="0.14000000000000001"/>
    <n v="2768.02"/>
    <s v="Debit Card"/>
    <s v="Tamil Nadu"/>
    <x v="19"/>
    <x v="1"/>
    <s v="New"/>
  </r>
  <r>
    <s v="ORD100520"/>
    <x v="184"/>
    <s v="Nisha Gupta"/>
    <x v="1"/>
    <s v="Smart Watch"/>
    <x v="7"/>
    <n v="2"/>
    <n v="8600"/>
    <n v="0.14000000000000001"/>
    <n v="1148.48"/>
    <s v="Cash on Delivery"/>
    <s v="Bihar"/>
    <x v="5"/>
    <x v="3"/>
    <s v="Returning"/>
  </r>
  <r>
    <s v="ORD100521"/>
    <x v="269"/>
    <s v="Pooja Kumawat"/>
    <x v="4"/>
    <s v="Football"/>
    <x v="34"/>
    <n v="4"/>
    <n v="3888"/>
    <n v="0.19"/>
    <n v="599.97"/>
    <s v="Debit Card"/>
    <s v="Uttar Pradesh"/>
    <x v="6"/>
    <x v="2"/>
    <s v="Returning"/>
  </r>
  <r>
    <s v="ORD100522"/>
    <x v="81"/>
    <s v="Sahil Verma"/>
    <x v="5"/>
    <s v="Sofa"/>
    <x v="31"/>
    <n v="2"/>
    <n v="43120"/>
    <n v="0.23"/>
    <n v="3459.41"/>
    <s v="Credit Card"/>
    <s v="Goa"/>
    <x v="13"/>
    <x v="0"/>
    <s v="Returning"/>
  </r>
  <r>
    <s v="ORD100523"/>
    <x v="210"/>
    <s v="Aman Jain"/>
    <x v="2"/>
    <s v="Men T-Shirt"/>
    <x v="24"/>
    <n v="3"/>
    <n v="2241"/>
    <n v="0.17"/>
    <n v="370.11"/>
    <s v="UPI"/>
    <s v="Maharashtra"/>
    <x v="12"/>
    <x v="0"/>
    <s v="Returning"/>
  </r>
  <r>
    <s v="ORD100524"/>
    <x v="209"/>
    <s v="Nisha Yadav"/>
    <x v="1"/>
    <s v="Smartphone"/>
    <x v="22"/>
    <n v="4"/>
    <n v="86000"/>
    <n v="0.14000000000000001"/>
    <n v="12088.37"/>
    <s v="Wallet"/>
    <s v="Uttar Pradesh"/>
    <x v="16"/>
    <x v="2"/>
    <s v="New"/>
  </r>
  <r>
    <s v="ORD100525"/>
    <x v="55"/>
    <s v="Aditya Kumar"/>
    <x v="0"/>
    <s v="Bedsheet"/>
    <x v="21"/>
    <n v="2"/>
    <n v="2016"/>
    <n v="0.16"/>
    <n v="271.25"/>
    <s v="Wallet"/>
    <s v="Madhya Pradesh"/>
    <x v="0"/>
    <x v="0"/>
    <s v="New"/>
  </r>
  <r>
    <s v="ORD100526"/>
    <x v="129"/>
    <s v="Arjun Agarwal"/>
    <x v="5"/>
    <s v="Bed"/>
    <x v="27"/>
    <n v="1"/>
    <n v="23100"/>
    <n v="0.23"/>
    <n v="2875.32"/>
    <s v="UPI"/>
    <s v="Madhya Pradesh"/>
    <x v="0"/>
    <x v="0"/>
    <s v="New"/>
  </r>
  <r>
    <s v="ORD100527"/>
    <x v="96"/>
    <s v="Kavya Meena"/>
    <x v="1"/>
    <s v="Mouse"/>
    <x v="36"/>
    <n v="1"/>
    <n v="738"/>
    <n v="0.18"/>
    <n v="99.87"/>
    <s v="UPI"/>
    <s v="Uttar Pradesh"/>
    <x v="16"/>
    <x v="2"/>
    <s v="Returning"/>
  </r>
  <r>
    <s v="ORD100528"/>
    <x v="59"/>
    <s v="Pooja Yadav"/>
    <x v="5"/>
    <s v="Study Table"/>
    <x v="28"/>
    <n v="1"/>
    <n v="5330"/>
    <n v="0.18"/>
    <n v="607.62"/>
    <s v="Wallet"/>
    <s v="Kerala"/>
    <x v="14"/>
    <x v="1"/>
    <s v="Returning"/>
  </r>
  <r>
    <s v="ORD100529"/>
    <x v="152"/>
    <s v="Isha Jain"/>
    <x v="3"/>
    <s v="Face Wash"/>
    <x v="3"/>
    <n v="1"/>
    <n v="364.5"/>
    <n v="0.19"/>
    <n v="64.02"/>
    <s v="Wallet"/>
    <s v="Uttar Pradesh"/>
    <x v="6"/>
    <x v="2"/>
    <s v="Returning"/>
  </r>
  <r>
    <s v="ORD100530"/>
    <x v="270"/>
    <s v="Ananya Singh"/>
    <x v="2"/>
    <s v="Men T-Shirt"/>
    <x v="24"/>
    <n v="2"/>
    <n v="1332"/>
    <n v="0.26"/>
    <n v="292.22000000000003"/>
    <s v="Debit Card"/>
    <s v="Punjab"/>
    <x v="15"/>
    <x v="2"/>
    <s v="Returning"/>
  </r>
  <r>
    <s v="ORD100531"/>
    <x v="271"/>
    <s v="Kavya Meena"/>
    <x v="1"/>
    <s v="Keyboard"/>
    <x v="6"/>
    <n v="4"/>
    <n v="6048"/>
    <n v="0.16"/>
    <n v="811.78"/>
    <s v="Wallet"/>
    <s v="Punjab"/>
    <x v="15"/>
    <x v="2"/>
    <s v="Returning"/>
  </r>
  <r>
    <s v="ORD100532"/>
    <x v="92"/>
    <s v="Aditya Singh"/>
    <x v="1"/>
    <s v="Keyboard"/>
    <x v="6"/>
    <n v="1"/>
    <n v="1440"/>
    <n v="0.2"/>
    <n v="184.19"/>
    <s v="UPI"/>
    <s v="West Bengal"/>
    <x v="18"/>
    <x v="3"/>
    <s v="New"/>
  </r>
  <r>
    <s v="ORD100533"/>
    <x v="157"/>
    <s v="Neha Kumawat"/>
    <x v="6"/>
    <s v="Novel"/>
    <x v="14"/>
    <n v="2"/>
    <n v="700"/>
    <n v="0.3"/>
    <n v="144.63"/>
    <s v="Net Banking"/>
    <s v="Rajasthan"/>
    <x v="7"/>
    <x v="0"/>
    <s v="New"/>
  </r>
  <r>
    <s v="ORD100534"/>
    <x v="24"/>
    <s v="Nisha Singh"/>
    <x v="5"/>
    <s v="Bed"/>
    <x v="27"/>
    <n v="1"/>
    <n v="25200"/>
    <n v="0.16"/>
    <n v="2001.02"/>
    <s v="Credit Card"/>
    <s v="Kerala"/>
    <x v="14"/>
    <x v="1"/>
    <s v="Returning"/>
  </r>
  <r>
    <s v="ORD100535"/>
    <x v="272"/>
    <s v="Sneha Meena"/>
    <x v="0"/>
    <s v="Mixer Grinder"/>
    <x v="0"/>
    <n v="1"/>
    <n v="4095"/>
    <n v="0.09"/>
    <n v="613.55999999999995"/>
    <s v="Wallet"/>
    <s v="Rajasthan"/>
    <x v="7"/>
    <x v="0"/>
    <s v="Returning"/>
  </r>
  <r>
    <s v="ORD100536"/>
    <x v="273"/>
    <s v="Vikas Kumar"/>
    <x v="4"/>
    <s v="Badminton Racket"/>
    <x v="9"/>
    <n v="2"/>
    <n v="2988"/>
    <n v="0.17"/>
    <n v="451.15"/>
    <s v="Cash on Delivery"/>
    <s v="Tamil Nadu"/>
    <x v="19"/>
    <x v="1"/>
    <s v="New"/>
  </r>
  <r>
    <s v="ORD100537"/>
    <x v="41"/>
    <s v="Vivaan Kumar"/>
    <x v="2"/>
    <s v="Jacket"/>
    <x v="2"/>
    <n v="2"/>
    <n v="4536"/>
    <n v="0.19"/>
    <n v="698.65"/>
    <s v="UPI"/>
    <s v="Rajasthan"/>
    <x v="9"/>
    <x v="0"/>
    <s v="Returning"/>
  </r>
  <r>
    <s v="ORD100538"/>
    <x v="274"/>
    <s v="Ananya Agarwal"/>
    <x v="4"/>
    <s v="Cricket Bat"/>
    <x v="16"/>
    <n v="2"/>
    <n v="5670"/>
    <n v="0.19"/>
    <n v="796.36"/>
    <s v="Net Banking"/>
    <s v="Rajasthan"/>
    <x v="7"/>
    <x v="0"/>
    <s v="Returning"/>
  </r>
  <r>
    <s v="ORD100539"/>
    <x v="37"/>
    <s v="Isha Sharma"/>
    <x v="1"/>
    <s v="Smartphone"/>
    <x v="22"/>
    <n v="2"/>
    <n v="47500"/>
    <n v="0.05"/>
    <n v="4922.26"/>
    <s v="UPI"/>
    <s v="Gujarat"/>
    <x v="1"/>
    <x v="0"/>
    <s v="New"/>
  </r>
  <r>
    <s v="ORD100540"/>
    <x v="20"/>
    <s v="Rahul Gupta"/>
    <x v="0"/>
    <s v="Air Fryer"/>
    <x v="15"/>
    <n v="1"/>
    <n v="6045"/>
    <n v="7.0000000000000007E-2"/>
    <n v="663.64"/>
    <s v="Debit Card"/>
    <s v="Haryana"/>
    <x v="8"/>
    <x v="2"/>
    <s v="Returning"/>
  </r>
  <r>
    <s v="ORD100541"/>
    <x v="78"/>
    <s v="Vivaan Yadav"/>
    <x v="4"/>
    <s v="Yoga Mat"/>
    <x v="17"/>
    <n v="1"/>
    <n v="747"/>
    <n v="0.17"/>
    <n v="148.79"/>
    <s v="Cash on Delivery"/>
    <s v="Rajasthan"/>
    <x v="10"/>
    <x v="0"/>
    <s v="Returning"/>
  </r>
  <r>
    <s v="ORD100542"/>
    <x v="162"/>
    <s v="Riya Sharma"/>
    <x v="6"/>
    <s v="Novel"/>
    <x v="14"/>
    <n v="2"/>
    <n v="770"/>
    <n v="0.23"/>
    <n v="146.72"/>
    <s v="Credit Card"/>
    <s v="Kerala"/>
    <x v="14"/>
    <x v="1"/>
    <s v="New"/>
  </r>
  <r>
    <s v="ORD100543"/>
    <x v="167"/>
    <s v="Pooja Jain"/>
    <x v="5"/>
    <s v="Dining Table"/>
    <x v="23"/>
    <n v="1"/>
    <n v="16500"/>
    <n v="0.25"/>
    <n v="1565.28"/>
    <s v="UPI"/>
    <s v="Uttar Pradesh"/>
    <x v="16"/>
    <x v="2"/>
    <s v="Returning"/>
  </r>
  <r>
    <s v="ORD100544"/>
    <x v="214"/>
    <s v="Simran Kumawat"/>
    <x v="1"/>
    <s v="Headphones"/>
    <x v="30"/>
    <n v="1"/>
    <n v="2175"/>
    <n v="0.13"/>
    <n v="359.18"/>
    <s v="Wallet"/>
    <s v="Delhi"/>
    <x v="3"/>
    <x v="2"/>
    <s v="Returning"/>
  </r>
  <r>
    <s v="ORD100545"/>
    <x v="134"/>
    <s v="Aarav Verma"/>
    <x v="3"/>
    <s v="Skin Care Kit"/>
    <x v="20"/>
    <n v="2"/>
    <n v="3564"/>
    <n v="0.19"/>
    <n v="580.04"/>
    <s v="Cash on Delivery"/>
    <s v="Tamil Nadu"/>
    <x v="19"/>
    <x v="1"/>
    <s v="Returning"/>
  </r>
  <r>
    <s v="ORD100546"/>
    <x v="38"/>
    <s v="Simran Jain"/>
    <x v="1"/>
    <s v="Bluetooth Speaker"/>
    <x v="11"/>
    <n v="2"/>
    <n v="6300"/>
    <n v="0.1"/>
    <n v="631.6"/>
    <s v="Debit Card"/>
    <s v="Tamil Nadu"/>
    <x v="19"/>
    <x v="1"/>
    <s v="New"/>
  </r>
  <r>
    <s v="ORD100547"/>
    <x v="70"/>
    <s v="Aditya Meena"/>
    <x v="3"/>
    <s v="Skin Care Kit"/>
    <x v="20"/>
    <n v="1"/>
    <n v="1936"/>
    <n v="0.12"/>
    <n v="294.66000000000003"/>
    <s v="Credit Card"/>
    <s v="Karnataka"/>
    <x v="2"/>
    <x v="1"/>
    <s v="Returning"/>
  </r>
  <r>
    <s v="ORD100548"/>
    <x v="230"/>
    <s v="Isha Meena"/>
    <x v="2"/>
    <s v="Women Kurti"/>
    <x v="26"/>
    <n v="1"/>
    <n v="1162"/>
    <n v="0.17"/>
    <n v="230.07"/>
    <s v="Credit Card"/>
    <s v="West Bengal"/>
    <x v="18"/>
    <x v="3"/>
    <s v="New"/>
  </r>
  <r>
    <s v="ORD100549"/>
    <x v="188"/>
    <s v="Riya Sharma"/>
    <x v="2"/>
    <s v="Men T-Shirt"/>
    <x v="24"/>
    <n v="2"/>
    <n v="1368"/>
    <n v="0.24"/>
    <n v="259.5"/>
    <s v="Debit Card"/>
    <s v="West Bengal"/>
    <x v="18"/>
    <x v="3"/>
    <s v="Returning"/>
  </r>
  <r>
    <s v="ORD100550"/>
    <x v="37"/>
    <s v="Karan Kumawat"/>
    <x v="3"/>
    <s v="Perfume"/>
    <x v="18"/>
    <n v="1"/>
    <n v="1512"/>
    <n v="0.16"/>
    <n v="334.87"/>
    <s v="UPI"/>
    <s v="Telangana"/>
    <x v="11"/>
    <x v="1"/>
    <s v="New"/>
  </r>
  <r>
    <s v="ORD100551"/>
    <x v="263"/>
    <s v="Aman Gupta"/>
    <x v="0"/>
    <s v="Mixer Grinder"/>
    <x v="0"/>
    <n v="1"/>
    <n v="4095"/>
    <n v="0.09"/>
    <n v="368.52"/>
    <s v="Debit Card"/>
    <s v="Odisha"/>
    <x v="17"/>
    <x v="3"/>
    <s v="Returning"/>
  </r>
  <r>
    <s v="ORD100552"/>
    <x v="149"/>
    <s v="Sahil Kumar"/>
    <x v="0"/>
    <s v="Coffee Maker"/>
    <x v="4"/>
    <n v="2"/>
    <n v="8500"/>
    <n v="0.15"/>
    <n v="1406.5"/>
    <s v="Cash on Delivery"/>
    <s v="Haryana"/>
    <x v="8"/>
    <x v="2"/>
    <s v="New"/>
  </r>
  <r>
    <s v="ORD100553"/>
    <x v="28"/>
    <s v="Sneha Gupta"/>
    <x v="1"/>
    <s v="Bluetooth Speaker"/>
    <x v="11"/>
    <n v="1"/>
    <n v="3150"/>
    <n v="0.1"/>
    <n v="236.79"/>
    <s v="Cash on Delivery"/>
    <s v="Bihar"/>
    <x v="5"/>
    <x v="3"/>
    <s v="New"/>
  </r>
  <r>
    <s v="ORD100554"/>
    <x v="215"/>
    <s v="Aarav Verma"/>
    <x v="3"/>
    <s v="Shampoo"/>
    <x v="33"/>
    <n v="4"/>
    <n v="2132"/>
    <n v="0.18"/>
    <n v="462.81"/>
    <s v="Wallet"/>
    <s v="Rajasthan"/>
    <x v="10"/>
    <x v="0"/>
    <s v="Returning"/>
  </r>
  <r>
    <s v="ORD100555"/>
    <x v="265"/>
    <s v="Aditya Singh"/>
    <x v="3"/>
    <s v="Skin Care Kit"/>
    <x v="20"/>
    <n v="1"/>
    <n v="1760"/>
    <n v="0.2"/>
    <n v="172.39"/>
    <s v="Debit Card"/>
    <s v="Delhi"/>
    <x v="3"/>
    <x v="2"/>
    <s v="Returning"/>
  </r>
  <r>
    <s v="ORD100556"/>
    <x v="275"/>
    <s v="Riya Yadav"/>
    <x v="1"/>
    <s v="Laptop"/>
    <x v="25"/>
    <n v="2"/>
    <n v="104500"/>
    <n v="0.05"/>
    <n v="15988.98"/>
    <s v="Credit Card"/>
    <s v="Delhi"/>
    <x v="3"/>
    <x v="2"/>
    <s v="Returning"/>
  </r>
  <r>
    <s v="ORD100557"/>
    <x v="276"/>
    <s v="Arjun Gupta"/>
    <x v="0"/>
    <s v="Coffee Maker"/>
    <x v="4"/>
    <n v="1"/>
    <n v="4450"/>
    <n v="0.11"/>
    <n v="544.04"/>
    <s v="Debit Card"/>
    <s v="Uttar Pradesh"/>
    <x v="16"/>
    <x v="2"/>
    <s v="Returning"/>
  </r>
  <r>
    <s v="ORD100558"/>
    <x v="217"/>
    <s v="Kavya Agarwal"/>
    <x v="0"/>
    <s v="Mixer Grinder"/>
    <x v="0"/>
    <n v="1"/>
    <n v="3870"/>
    <n v="0.14000000000000001"/>
    <n v="369.08"/>
    <s v="Cash on Delivery"/>
    <s v="Rajasthan"/>
    <x v="9"/>
    <x v="0"/>
    <s v="Returning"/>
  </r>
  <r>
    <s v="ORD100559"/>
    <x v="277"/>
    <s v="Aman Agarwal"/>
    <x v="2"/>
    <s v="Women Kurti"/>
    <x v="26"/>
    <n v="5"/>
    <n v="5670"/>
    <n v="0.19"/>
    <n v="1055.8499999999999"/>
    <s v="Debit Card"/>
    <s v="Maharashtra"/>
    <x v="12"/>
    <x v="0"/>
    <s v="Returning"/>
  </r>
  <r>
    <s v="ORD100560"/>
    <x v="278"/>
    <s v="Rohit Agarwal"/>
    <x v="4"/>
    <s v="Yoga Mat"/>
    <x v="17"/>
    <n v="1"/>
    <n v="702"/>
    <n v="0.22"/>
    <n v="118.72"/>
    <s v="Cash on Delivery"/>
    <s v="Haryana"/>
    <x v="8"/>
    <x v="2"/>
    <s v="New"/>
  </r>
  <r>
    <s v="ORD100561"/>
    <x v="259"/>
    <s v="Isha Gupta"/>
    <x v="4"/>
    <s v="Cricket Bat"/>
    <x v="16"/>
    <n v="3"/>
    <n v="9345"/>
    <n v="0.11"/>
    <n v="1588.7"/>
    <s v="Net Banking"/>
    <s v="Kerala"/>
    <x v="14"/>
    <x v="1"/>
    <s v="Returning"/>
  </r>
  <r>
    <s v="ORD100562"/>
    <x v="213"/>
    <s v="Pooja Sharma"/>
    <x v="0"/>
    <s v="Bedsheet"/>
    <x v="21"/>
    <n v="2"/>
    <n v="2088"/>
    <n v="0.13"/>
    <n v="377.37"/>
    <s v="UPI"/>
    <s v="Odisha"/>
    <x v="17"/>
    <x v="3"/>
    <s v="Returning"/>
  </r>
  <r>
    <s v="ORD100563"/>
    <x v="179"/>
    <s v="Arjun Kumar"/>
    <x v="5"/>
    <s v="Office Chair"/>
    <x v="32"/>
    <n v="2"/>
    <n v="11250"/>
    <n v="0.25"/>
    <n v="1426.29"/>
    <s v="Cash on Delivery"/>
    <s v="Odisha"/>
    <x v="17"/>
    <x v="3"/>
    <s v="New"/>
  </r>
  <r>
    <s v="ORD100564"/>
    <x v="279"/>
    <s v="Riya Gupta"/>
    <x v="1"/>
    <s v="Smartphone"/>
    <x v="22"/>
    <n v="1"/>
    <n v="21750"/>
    <n v="0.13"/>
    <n v="2636.98"/>
    <s v="Cash on Delivery"/>
    <s v="Rajasthan"/>
    <x v="10"/>
    <x v="0"/>
    <s v="New"/>
  </r>
  <r>
    <s v="ORD100565"/>
    <x v="84"/>
    <s v="Aditya Sharma"/>
    <x v="3"/>
    <s v="Face Wash"/>
    <x v="3"/>
    <n v="1"/>
    <n v="387"/>
    <n v="0.14000000000000001"/>
    <n v="79.81"/>
    <s v="Net Banking"/>
    <s v="Maharashtra"/>
    <x v="4"/>
    <x v="0"/>
    <s v="New"/>
  </r>
  <r>
    <s v="ORD100566"/>
    <x v="280"/>
    <s v="Isha Agarwal"/>
    <x v="0"/>
    <s v="Air Fryer"/>
    <x v="15"/>
    <n v="5"/>
    <n v="29900"/>
    <n v="0.08"/>
    <n v="5382.56"/>
    <s v="Cash on Delivery"/>
    <s v="Gujarat"/>
    <x v="1"/>
    <x v="0"/>
    <s v="New"/>
  </r>
  <r>
    <s v="ORD100567"/>
    <x v="270"/>
    <s v="Ananya Kumawat"/>
    <x v="5"/>
    <s v="Bed"/>
    <x v="27"/>
    <n v="3"/>
    <n v="74700"/>
    <n v="0.17"/>
    <n v="6694.74"/>
    <s v="Debit Card"/>
    <s v="Goa"/>
    <x v="13"/>
    <x v="0"/>
    <s v="Returning"/>
  </r>
  <r>
    <s v="ORD100568"/>
    <x v="281"/>
    <s v="Arjun Kumawat"/>
    <x v="5"/>
    <s v="Bed"/>
    <x v="27"/>
    <n v="1"/>
    <n v="24300"/>
    <n v="0.19"/>
    <n v="2763.84"/>
    <s v="Wallet"/>
    <s v="Bihar"/>
    <x v="5"/>
    <x v="3"/>
    <s v="Returning"/>
  </r>
  <r>
    <s v="ORD100569"/>
    <x v="256"/>
    <s v="Priya Kumawat"/>
    <x v="3"/>
    <s v="Perfume"/>
    <x v="18"/>
    <n v="2"/>
    <n v="3204"/>
    <n v="0.11"/>
    <n v="514.16999999999996"/>
    <s v="Wallet"/>
    <s v="Telangana"/>
    <x v="11"/>
    <x v="1"/>
    <s v="Returning"/>
  </r>
  <r>
    <s v="ORD100570"/>
    <x v="136"/>
    <s v="Vivaan Verma"/>
    <x v="1"/>
    <s v="Tablet"/>
    <x v="1"/>
    <n v="3"/>
    <n v="46980"/>
    <n v="0.13"/>
    <n v="6061.41"/>
    <s v="Wallet"/>
    <s v="Maharashtra"/>
    <x v="4"/>
    <x v="0"/>
    <s v="New"/>
  </r>
  <r>
    <s v="ORD100571"/>
    <x v="41"/>
    <s v="Vivaan Meena"/>
    <x v="6"/>
    <s v="Novel"/>
    <x v="14"/>
    <n v="2"/>
    <n v="810"/>
    <n v="0.19"/>
    <n v="182.77"/>
    <s v="Debit Card"/>
    <s v="Punjab"/>
    <x v="15"/>
    <x v="2"/>
    <s v="Returning"/>
  </r>
  <r>
    <s v="ORD100572"/>
    <x v="232"/>
    <s v="Neha Gupta"/>
    <x v="1"/>
    <s v="Keyboard"/>
    <x v="6"/>
    <n v="2"/>
    <n v="3060"/>
    <n v="0.15"/>
    <n v="299.95"/>
    <s v="Net Banking"/>
    <s v="Maharashtra"/>
    <x v="12"/>
    <x v="0"/>
    <s v="Returning"/>
  </r>
  <r>
    <s v="ORD100573"/>
    <x v="250"/>
    <s v="Vikas Singh"/>
    <x v="1"/>
    <s v="Bluetooth Speaker"/>
    <x v="11"/>
    <n v="1"/>
    <n v="2800"/>
    <n v="0.2"/>
    <n v="344.51"/>
    <s v="Wallet"/>
    <s v="Uttar Pradesh"/>
    <x v="6"/>
    <x v="2"/>
    <s v="Returning"/>
  </r>
  <r>
    <s v="ORD100574"/>
    <x v="282"/>
    <s v="Aditya Yadav"/>
    <x v="5"/>
    <s v="Bed"/>
    <x v="27"/>
    <n v="5"/>
    <n v="121500"/>
    <n v="0.19"/>
    <n v="13270.35"/>
    <s v="Credit Card"/>
    <s v="Odisha"/>
    <x v="17"/>
    <x v="3"/>
    <s v="New"/>
  </r>
  <r>
    <s v="ORD100575"/>
    <x v="65"/>
    <s v="Sahil Kumawat"/>
    <x v="1"/>
    <s v="Tablet"/>
    <x v="1"/>
    <n v="1"/>
    <n v="16560"/>
    <n v="0.08"/>
    <n v="1810.08"/>
    <s v="Net Banking"/>
    <s v="Uttar Pradesh"/>
    <x v="16"/>
    <x v="2"/>
    <s v="Returning"/>
  </r>
  <r>
    <s v="ORD100576"/>
    <x v="62"/>
    <s v="Sahil Gupta"/>
    <x v="1"/>
    <s v="Headphones"/>
    <x v="30"/>
    <n v="1"/>
    <n v="2100"/>
    <n v="0.16"/>
    <n v="304.06"/>
    <s v="Credit Card"/>
    <s v="Telangana"/>
    <x v="11"/>
    <x v="1"/>
    <s v="Returning"/>
  </r>
  <r>
    <s v="ORD100577"/>
    <x v="149"/>
    <s v="Rohit Jain"/>
    <x v="5"/>
    <s v="Bookshelf"/>
    <x v="10"/>
    <n v="4"/>
    <n v="16800"/>
    <n v="0.16"/>
    <n v="2898.69"/>
    <s v="Credit Card"/>
    <s v="Punjab"/>
    <x v="15"/>
    <x v="2"/>
    <s v="New"/>
  </r>
  <r>
    <s v="ORD100578"/>
    <x v="70"/>
    <s v="Arjun Kumawat"/>
    <x v="1"/>
    <s v="Mouse"/>
    <x v="36"/>
    <n v="2"/>
    <n v="1530"/>
    <n v="0.15"/>
    <n v="197.91"/>
    <s v="Wallet"/>
    <s v="Odisha"/>
    <x v="17"/>
    <x v="3"/>
    <s v="Returning"/>
  </r>
  <r>
    <s v="ORD100579"/>
    <x v="283"/>
    <s v="Priya Kumar"/>
    <x v="0"/>
    <s v="Bedsheet"/>
    <x v="21"/>
    <n v="3"/>
    <n v="3132"/>
    <n v="0.13"/>
    <n v="469.72"/>
    <s v="Wallet"/>
    <s v="Gujarat"/>
    <x v="1"/>
    <x v="0"/>
    <s v="Returning"/>
  </r>
  <r>
    <s v="ORD100580"/>
    <x v="284"/>
    <s v="Priya Meena"/>
    <x v="5"/>
    <s v="Study Table"/>
    <x v="28"/>
    <n v="3"/>
    <n v="16770"/>
    <n v="0.14000000000000001"/>
    <n v="2083.25"/>
    <s v="Credit Card"/>
    <s v="Madhya Pradesh"/>
    <x v="0"/>
    <x v="0"/>
    <s v="Returning"/>
  </r>
  <r>
    <s v="ORD100581"/>
    <x v="285"/>
    <s v="Rohit Gupta"/>
    <x v="2"/>
    <s v="Sneakers"/>
    <x v="29"/>
    <n v="1"/>
    <n v="2580"/>
    <n v="0.14000000000000001"/>
    <n v="404.63"/>
    <s v="Cash on Delivery"/>
    <s v="Goa"/>
    <x v="13"/>
    <x v="0"/>
    <s v="Returning"/>
  </r>
  <r>
    <s v="ORD100582"/>
    <x v="251"/>
    <s v="Sahil Agarwal"/>
    <x v="4"/>
    <s v="Badminton Racket"/>
    <x v="9"/>
    <n v="5"/>
    <n v="7830"/>
    <n v="0.13"/>
    <n v="1213.3900000000001"/>
    <s v="UPI"/>
    <s v="Rajasthan"/>
    <x v="9"/>
    <x v="0"/>
    <s v="Returning"/>
  </r>
  <r>
    <s v="ORD100583"/>
    <x v="155"/>
    <s v="Karan Yadav"/>
    <x v="1"/>
    <s v="Keyboard"/>
    <x v="6"/>
    <n v="3"/>
    <n v="4590"/>
    <n v="0.15"/>
    <n v="500.04"/>
    <s v="Debit Card"/>
    <s v="Goa"/>
    <x v="13"/>
    <x v="0"/>
    <s v="New"/>
  </r>
  <r>
    <s v="ORD100584"/>
    <x v="286"/>
    <s v="Riya Meena"/>
    <x v="2"/>
    <s v="Sneakers"/>
    <x v="29"/>
    <n v="3"/>
    <n v="7560"/>
    <n v="0.16"/>
    <n v="1055.3699999999999"/>
    <s v="Cash on Delivery"/>
    <s v="Uttar Pradesh"/>
    <x v="16"/>
    <x v="2"/>
    <s v="New"/>
  </r>
  <r>
    <s v="ORD100585"/>
    <x v="287"/>
    <s v="Neha Kumar"/>
    <x v="3"/>
    <s v="Face Wash"/>
    <x v="3"/>
    <n v="2"/>
    <n v="774"/>
    <n v="0.14000000000000001"/>
    <n v="142.05000000000001"/>
    <s v="Credit Card"/>
    <s v="Maharashtra"/>
    <x v="4"/>
    <x v="0"/>
    <s v="New"/>
  </r>
  <r>
    <s v="ORD100586"/>
    <x v="172"/>
    <s v="Riya Gupta"/>
    <x v="0"/>
    <s v="Water Bottle"/>
    <x v="35"/>
    <n v="5"/>
    <n v="3320"/>
    <n v="0.17"/>
    <n v="677.01"/>
    <s v="Cash on Delivery"/>
    <s v="Rajasthan"/>
    <x v="10"/>
    <x v="0"/>
    <s v="Returning"/>
  </r>
  <r>
    <s v="ORD100587"/>
    <x v="285"/>
    <s v="Karan Kumar"/>
    <x v="1"/>
    <s v="Smart Watch"/>
    <x v="7"/>
    <n v="5"/>
    <n v="23250"/>
    <n v="7.0000000000000007E-2"/>
    <n v="3196.67"/>
    <s v="Credit Card"/>
    <s v="Rajasthan"/>
    <x v="7"/>
    <x v="0"/>
    <s v="New"/>
  </r>
  <r>
    <s v="ORD100588"/>
    <x v="101"/>
    <s v="Priya Kumar"/>
    <x v="3"/>
    <s v="Perfume"/>
    <x v="18"/>
    <n v="1"/>
    <n v="1422"/>
    <n v="0.21"/>
    <n v="212.13"/>
    <s v="Net Banking"/>
    <s v="Rajasthan"/>
    <x v="9"/>
    <x v="0"/>
    <s v="Returning"/>
  </r>
  <r>
    <s v="ORD100589"/>
    <x v="288"/>
    <s v="Priya Yadav"/>
    <x v="5"/>
    <s v="Office Chair"/>
    <x v="32"/>
    <n v="2"/>
    <n v="13050"/>
    <n v="0.13"/>
    <n v="1750.73"/>
    <s v="Net Banking"/>
    <s v="Goa"/>
    <x v="13"/>
    <x v="0"/>
    <s v="New"/>
  </r>
  <r>
    <s v="ORD100590"/>
    <x v="289"/>
    <s v="Ananya Kumar"/>
    <x v="1"/>
    <s v="Keyboard"/>
    <x v="6"/>
    <n v="3"/>
    <n v="4860"/>
    <n v="0.1"/>
    <n v="537.14"/>
    <s v="Cash on Delivery"/>
    <s v="Tamil Nadu"/>
    <x v="19"/>
    <x v="1"/>
    <s v="Returning"/>
  </r>
  <r>
    <s v="ORD100591"/>
    <x v="290"/>
    <s v="Rohit Sharma"/>
    <x v="3"/>
    <s v="Face Wash"/>
    <x v="3"/>
    <n v="2"/>
    <n v="720"/>
    <n v="0.2"/>
    <n v="131.87"/>
    <s v="Net Banking"/>
    <s v="Bihar"/>
    <x v="5"/>
    <x v="3"/>
    <s v="New"/>
  </r>
  <r>
    <s v="ORD100592"/>
    <x v="137"/>
    <s v="Aman Jain"/>
    <x v="0"/>
    <s v="Air Fryer"/>
    <x v="15"/>
    <n v="2"/>
    <n v="11310"/>
    <n v="0.13"/>
    <n v="1480.83"/>
    <s v="UPI"/>
    <s v="Uttar Pradesh"/>
    <x v="16"/>
    <x v="2"/>
    <s v="Returning"/>
  </r>
  <r>
    <s v="ORD100593"/>
    <x v="194"/>
    <s v="Priya Kumawat"/>
    <x v="4"/>
    <s v="Yoga Mat"/>
    <x v="17"/>
    <n v="4"/>
    <n v="2772"/>
    <n v="0.23"/>
    <n v="504.49"/>
    <s v="Net Banking"/>
    <s v="Rajasthan"/>
    <x v="7"/>
    <x v="0"/>
    <s v="Returning"/>
  </r>
  <r>
    <s v="ORD100594"/>
    <x v="71"/>
    <s v="Ananya Kumar"/>
    <x v="5"/>
    <s v="Bed"/>
    <x v="27"/>
    <n v="5"/>
    <n v="111000"/>
    <n v="0.26"/>
    <n v="7008.8"/>
    <s v="UPI"/>
    <s v="Delhi"/>
    <x v="3"/>
    <x v="2"/>
    <s v="Returning"/>
  </r>
  <r>
    <s v="ORD100595"/>
    <x v="133"/>
    <s v="Simran Kumawat"/>
    <x v="0"/>
    <s v="Mixer Grinder"/>
    <x v="0"/>
    <n v="2"/>
    <n v="8010"/>
    <n v="0.11"/>
    <n v="716.31"/>
    <s v="Credit Card"/>
    <s v="Madhya Pradesh"/>
    <x v="0"/>
    <x v="0"/>
    <s v="Returning"/>
  </r>
  <r>
    <s v="ORD100596"/>
    <x v="37"/>
    <s v="Arjun Kumar"/>
    <x v="6"/>
    <s v="Novel"/>
    <x v="14"/>
    <n v="4"/>
    <n v="1620"/>
    <n v="0.19"/>
    <n v="302.77999999999997"/>
    <s v="Debit Card"/>
    <s v="Maharashtra"/>
    <x v="12"/>
    <x v="0"/>
    <s v="New"/>
  </r>
  <r>
    <s v="ORD100597"/>
    <x v="12"/>
    <s v="Riya Singh"/>
    <x v="6"/>
    <s v="Programming Book"/>
    <x v="13"/>
    <n v="4"/>
    <n v="2916"/>
    <n v="0.19"/>
    <n v="712.31"/>
    <s v="Credit Card"/>
    <s v="Bihar"/>
    <x v="5"/>
    <x v="3"/>
    <s v="Returning"/>
  </r>
  <r>
    <s v="ORD100598"/>
    <x v="44"/>
    <s v="Sahil Verma"/>
    <x v="6"/>
    <s v="Programming Book"/>
    <x v="13"/>
    <n v="5"/>
    <n v="3375"/>
    <n v="0.25"/>
    <n v="509.33"/>
    <s v="Debit Card"/>
    <s v="Telangana"/>
    <x v="11"/>
    <x v="1"/>
    <s v="New"/>
  </r>
  <r>
    <s v="ORD100599"/>
    <x v="92"/>
    <s v="Aditya Kumawat"/>
    <x v="3"/>
    <s v="Face Wash"/>
    <x v="3"/>
    <n v="1"/>
    <n v="342"/>
    <n v="0.24"/>
    <n v="56.42"/>
    <s v="UPI"/>
    <s v="Maharashtra"/>
    <x v="4"/>
    <x v="0"/>
    <s v="New"/>
  </r>
  <r>
    <s v="ORD100600"/>
    <x v="291"/>
    <s v="Vikas Verma"/>
    <x v="2"/>
    <s v="Jeans"/>
    <x v="8"/>
    <n v="1"/>
    <n v="1476"/>
    <n v="0.18"/>
    <n v="318.83999999999997"/>
    <s v="Debit Card"/>
    <s v="Tamil Nadu"/>
    <x v="19"/>
    <x v="1"/>
    <s v="New"/>
  </r>
  <r>
    <s v="ORD100601"/>
    <x v="107"/>
    <s v="Vivaan Yadav"/>
    <x v="3"/>
    <s v="Face Wash"/>
    <x v="3"/>
    <n v="4"/>
    <n v="1422"/>
    <n v="0.21"/>
    <n v="267.04000000000002"/>
    <s v="Wallet"/>
    <s v="Maharashtra"/>
    <x v="4"/>
    <x v="0"/>
    <s v="Returning"/>
  </r>
  <r>
    <s v="ORD100602"/>
    <x v="62"/>
    <s v="Arjun Singh"/>
    <x v="2"/>
    <s v="Women Kurti"/>
    <x v="26"/>
    <n v="1"/>
    <n v="1120"/>
    <n v="0.2"/>
    <n v="244.38"/>
    <s v="Cash on Delivery"/>
    <s v="Telangana"/>
    <x v="11"/>
    <x v="1"/>
    <s v="Returning"/>
  </r>
  <r>
    <s v="ORD100603"/>
    <x v="265"/>
    <s v="Arjun Kumawat"/>
    <x v="0"/>
    <s v="Bedsheet"/>
    <x v="21"/>
    <n v="3"/>
    <n v="2952"/>
    <n v="0.18"/>
    <n v="537.25"/>
    <s v="UPI"/>
    <s v="Tamil Nadu"/>
    <x v="19"/>
    <x v="1"/>
    <s v="Returning"/>
  </r>
  <r>
    <s v="ORD100604"/>
    <x v="236"/>
    <s v="Rahul Singh"/>
    <x v="0"/>
    <s v="Cookware Set"/>
    <x v="5"/>
    <n v="2"/>
    <n v="5670"/>
    <n v="0.19"/>
    <n v="749.58"/>
    <s v="Cash on Delivery"/>
    <s v="Bihar"/>
    <x v="5"/>
    <x v="3"/>
    <s v="New"/>
  </r>
  <r>
    <s v="ORD100605"/>
    <x v="208"/>
    <s v="Priya Gupta"/>
    <x v="6"/>
    <s v="Programming Book"/>
    <x v="13"/>
    <n v="1"/>
    <n v="765"/>
    <n v="0.15"/>
    <n v="136.53"/>
    <s v="Credit Card"/>
    <s v="Maharashtra"/>
    <x v="12"/>
    <x v="0"/>
    <s v="Returning"/>
  </r>
  <r>
    <s v="ORD100606"/>
    <x v="21"/>
    <s v="Sahil Meena"/>
    <x v="2"/>
    <s v="Men T-Shirt"/>
    <x v="24"/>
    <n v="3"/>
    <n v="1998"/>
    <n v="0.26"/>
    <n v="432.25"/>
    <s v="UPI"/>
    <s v="Telangana"/>
    <x v="11"/>
    <x v="1"/>
    <s v="New"/>
  </r>
  <r>
    <s v="ORD100607"/>
    <x v="292"/>
    <s v="Rahul Kumawat"/>
    <x v="4"/>
    <s v="Football"/>
    <x v="34"/>
    <n v="2"/>
    <n v="2088"/>
    <n v="0.13"/>
    <n v="435.06"/>
    <s v="Cash on Delivery"/>
    <s v="Madhya Pradesh"/>
    <x v="0"/>
    <x v="0"/>
    <s v="Returning"/>
  </r>
  <r>
    <s v="ORD100608"/>
    <x v="219"/>
    <s v="Aarav Jain"/>
    <x v="3"/>
    <s v="Skin Care Kit"/>
    <x v="20"/>
    <n v="1"/>
    <n v="1804"/>
    <n v="0.18"/>
    <n v="289.58999999999997"/>
    <s v="Credit Card"/>
    <s v="Delhi"/>
    <x v="3"/>
    <x v="2"/>
    <s v="New"/>
  </r>
  <r>
    <s v="ORD100609"/>
    <x v="154"/>
    <s v="Kavya Jain"/>
    <x v="2"/>
    <s v="Jeans"/>
    <x v="8"/>
    <n v="2"/>
    <n v="3168"/>
    <n v="0.12"/>
    <n v="540.84"/>
    <s v="Net Banking"/>
    <s v="Maharashtra"/>
    <x v="12"/>
    <x v="0"/>
    <s v="Returning"/>
  </r>
  <r>
    <s v="ORD100610"/>
    <x v="285"/>
    <s v="Sneha Meena"/>
    <x v="3"/>
    <s v="Skin Care Kit"/>
    <x v="20"/>
    <n v="1"/>
    <n v="1870"/>
    <n v="0.15"/>
    <n v="269.92"/>
    <s v="Debit Card"/>
    <s v="Haryana"/>
    <x v="8"/>
    <x v="2"/>
    <s v="New"/>
  </r>
  <r>
    <s v="ORD100611"/>
    <x v="84"/>
    <s v="Pooja Meena"/>
    <x v="0"/>
    <s v="Bedsheet"/>
    <x v="21"/>
    <n v="2"/>
    <n v="1824"/>
    <n v="0.24"/>
    <n v="299.23"/>
    <s v="Debit Card"/>
    <s v="Gujarat"/>
    <x v="1"/>
    <x v="0"/>
    <s v="Returning"/>
  </r>
  <r>
    <s v="ORD100612"/>
    <x v="88"/>
    <s v="Pooja Sharma"/>
    <x v="5"/>
    <s v="Office Chair"/>
    <x v="32"/>
    <n v="1"/>
    <n v="6000"/>
    <n v="0.2"/>
    <n v="805.28"/>
    <s v="Wallet"/>
    <s v="Delhi"/>
    <x v="3"/>
    <x v="2"/>
    <s v="Returning"/>
  </r>
  <r>
    <s v="ORD100613"/>
    <x v="293"/>
    <s v="Sahil Verma"/>
    <x v="0"/>
    <s v="Coffee Maker"/>
    <x v="4"/>
    <n v="1"/>
    <n v="4050"/>
    <n v="0.19"/>
    <n v="518.22"/>
    <s v="Net Banking"/>
    <s v="Telangana"/>
    <x v="11"/>
    <x v="1"/>
    <s v="Returning"/>
  </r>
  <r>
    <s v="ORD100614"/>
    <x v="116"/>
    <s v="Aman Sharma"/>
    <x v="6"/>
    <s v="Novel"/>
    <x v="14"/>
    <n v="3"/>
    <n v="1140"/>
    <n v="0.24"/>
    <n v="261.58999999999997"/>
    <s v="Cash on Delivery"/>
    <s v="Haryana"/>
    <x v="8"/>
    <x v="2"/>
    <s v="New"/>
  </r>
  <r>
    <s v="ORD100615"/>
    <x v="294"/>
    <s v="Ananya Gupta"/>
    <x v="0"/>
    <s v="Water Bottle"/>
    <x v="35"/>
    <n v="1"/>
    <n v="600"/>
    <n v="0.25"/>
    <n v="98.85"/>
    <s v="UPI"/>
    <s v="Rajasthan"/>
    <x v="7"/>
    <x v="0"/>
    <s v="New"/>
  </r>
  <r>
    <s v="ORD100616"/>
    <x v="243"/>
    <s v="Sneha Agarwal"/>
    <x v="3"/>
    <s v="Perfume"/>
    <x v="18"/>
    <n v="3"/>
    <n v="4482"/>
    <n v="0.17"/>
    <n v="616.29"/>
    <s v="Net Banking"/>
    <s v="Madhya Pradesh"/>
    <x v="0"/>
    <x v="0"/>
    <s v="Returning"/>
  </r>
  <r>
    <s v="ORD100617"/>
    <x v="200"/>
    <s v="Nisha Sharma"/>
    <x v="1"/>
    <s v="Laptop"/>
    <x v="25"/>
    <n v="5"/>
    <n v="244750"/>
    <n v="0.11"/>
    <n v="42808.14"/>
    <s v="Wallet"/>
    <s v="Kerala"/>
    <x v="14"/>
    <x v="1"/>
    <s v="New"/>
  </r>
  <r>
    <s v="ORD100618"/>
    <x v="142"/>
    <s v="Riya Yadav"/>
    <x v="1"/>
    <s v="Mouse"/>
    <x v="36"/>
    <n v="2"/>
    <n v="1512"/>
    <n v="0.16"/>
    <n v="248.56"/>
    <s v="Credit Card"/>
    <s v="Maharashtra"/>
    <x v="4"/>
    <x v="0"/>
    <s v="Returning"/>
  </r>
  <r>
    <s v="ORD100619"/>
    <x v="187"/>
    <s v="Rohit Agarwal"/>
    <x v="1"/>
    <s v="Mouse"/>
    <x v="36"/>
    <n v="1"/>
    <n v="738"/>
    <n v="0.18"/>
    <n v="105.32"/>
    <s v="UPI"/>
    <s v="Goa"/>
    <x v="13"/>
    <x v="0"/>
    <s v="Returning"/>
  </r>
  <r>
    <s v="ORD100620"/>
    <x v="295"/>
    <s v="Priya Kumar"/>
    <x v="5"/>
    <s v="Bed"/>
    <x v="27"/>
    <n v="2"/>
    <n v="49800"/>
    <n v="0.17"/>
    <n v="4043.21"/>
    <s v="Cash on Delivery"/>
    <s v="Gujarat"/>
    <x v="1"/>
    <x v="0"/>
    <s v="New"/>
  </r>
  <r>
    <s v="ORD100621"/>
    <x v="292"/>
    <s v="Aarav Yadav"/>
    <x v="4"/>
    <s v="Football"/>
    <x v="34"/>
    <n v="5"/>
    <n v="5160"/>
    <n v="0.14000000000000001"/>
    <n v="749.96"/>
    <s v="Cash on Delivery"/>
    <s v="Gujarat"/>
    <x v="1"/>
    <x v="0"/>
    <s v="Returning"/>
  </r>
  <r>
    <s v="ORD100622"/>
    <x v="112"/>
    <s v="Aman Kumar"/>
    <x v="0"/>
    <s v="Mixer Grinder"/>
    <x v="0"/>
    <n v="5"/>
    <n v="19800"/>
    <n v="0.12"/>
    <n v="3242.04"/>
    <s v="Debit Card"/>
    <s v="Haryana"/>
    <x v="8"/>
    <x v="2"/>
    <s v="Returning"/>
  </r>
  <r>
    <s v="ORD100623"/>
    <x v="224"/>
    <s v="Aman Yadav"/>
    <x v="1"/>
    <s v="Bluetooth Speaker"/>
    <x v="11"/>
    <n v="1"/>
    <n v="2835"/>
    <n v="0.19"/>
    <n v="383.12"/>
    <s v="Cash on Delivery"/>
    <s v="Rajasthan"/>
    <x v="9"/>
    <x v="0"/>
    <s v="Returning"/>
  </r>
  <r>
    <s v="ORD100624"/>
    <x v="296"/>
    <s v="Rahul Kumar"/>
    <x v="2"/>
    <s v="Women Kurti"/>
    <x v="26"/>
    <n v="2"/>
    <n v="2296"/>
    <n v="0.18"/>
    <n v="371.94"/>
    <s v="Net Banking"/>
    <s v="Delhi"/>
    <x v="3"/>
    <x v="2"/>
    <s v="Returning"/>
  </r>
  <r>
    <s v="ORD100625"/>
    <x v="297"/>
    <s v="Arjun Kumawat"/>
    <x v="2"/>
    <s v="Sneakers"/>
    <x v="29"/>
    <n v="1"/>
    <n v="2400"/>
    <n v="0.2"/>
    <n v="336.04"/>
    <s v="UPI"/>
    <s v="Uttar Pradesh"/>
    <x v="16"/>
    <x v="2"/>
    <s v="New"/>
  </r>
  <r>
    <s v="ORD100626"/>
    <x v="182"/>
    <s v="Pooja Singh"/>
    <x v="2"/>
    <s v="Sneakers"/>
    <x v="29"/>
    <n v="2"/>
    <n v="5100"/>
    <n v="0.15"/>
    <n v="909.32"/>
    <s v="Wallet"/>
    <s v="Punjab"/>
    <x v="15"/>
    <x v="2"/>
    <s v="New"/>
  </r>
  <r>
    <s v="ORD100627"/>
    <x v="239"/>
    <s v="Priya Agarwal"/>
    <x v="5"/>
    <s v="Dining Table"/>
    <x v="23"/>
    <n v="2"/>
    <n v="37840"/>
    <n v="0.14000000000000001"/>
    <n v="4633.68"/>
    <s v="Debit Card"/>
    <s v="Telangana"/>
    <x v="11"/>
    <x v="1"/>
    <s v="New"/>
  </r>
  <r>
    <s v="ORD100628"/>
    <x v="56"/>
    <s v="Vikas Kumar"/>
    <x v="5"/>
    <s v="Dining Table"/>
    <x v="23"/>
    <n v="2"/>
    <n v="36960"/>
    <n v="0.16"/>
    <n v="3582.3"/>
    <s v="Debit Card"/>
    <s v="Tamil Nadu"/>
    <x v="19"/>
    <x v="1"/>
    <s v="New"/>
  </r>
  <r>
    <s v="ORD100629"/>
    <x v="107"/>
    <s v="Aditya Kumawat"/>
    <x v="1"/>
    <s v="Smart Watch"/>
    <x v="7"/>
    <n v="2"/>
    <n v="8600"/>
    <n v="0.14000000000000001"/>
    <n v="919.64"/>
    <s v="Credit Card"/>
    <s v="Bihar"/>
    <x v="5"/>
    <x v="3"/>
    <s v="New"/>
  </r>
  <r>
    <s v="ORD100630"/>
    <x v="37"/>
    <s v="Karan Meena"/>
    <x v="6"/>
    <s v="Business Book"/>
    <x v="19"/>
    <n v="1"/>
    <n v="546"/>
    <n v="0.22"/>
    <n v="80.42"/>
    <s v="Net Banking"/>
    <s v="Delhi"/>
    <x v="3"/>
    <x v="2"/>
    <s v="Returning"/>
  </r>
  <r>
    <s v="ORD100631"/>
    <x v="224"/>
    <s v="Sahil Verma"/>
    <x v="1"/>
    <s v="Tablet"/>
    <x v="1"/>
    <n v="3"/>
    <n v="48600"/>
    <n v="0.1"/>
    <n v="4805.93"/>
    <s v="Credit Card"/>
    <s v="Bihar"/>
    <x v="5"/>
    <x v="3"/>
    <s v="New"/>
  </r>
  <r>
    <s v="ORD100632"/>
    <x v="151"/>
    <s v="Nisha Agarwal"/>
    <x v="0"/>
    <s v="Air Fryer"/>
    <x v="15"/>
    <n v="4"/>
    <n v="24440"/>
    <n v="0.06"/>
    <n v="3227.28"/>
    <s v="Debit Card"/>
    <s v="Bihar"/>
    <x v="5"/>
    <x v="3"/>
    <s v="Returning"/>
  </r>
  <r>
    <s v="ORD100633"/>
    <x v="247"/>
    <s v="Ananya Meena"/>
    <x v="1"/>
    <s v="Smartphone"/>
    <x v="22"/>
    <n v="2"/>
    <n v="45500"/>
    <n v="0.09"/>
    <n v="6851.08"/>
    <s v="Net Banking"/>
    <s v="Telangana"/>
    <x v="11"/>
    <x v="1"/>
    <s v="Returning"/>
  </r>
  <r>
    <s v="ORD100634"/>
    <x v="9"/>
    <s v="Isha Verma"/>
    <x v="2"/>
    <s v="Women Kurti"/>
    <x v="26"/>
    <n v="1"/>
    <n v="1148"/>
    <n v="0.18"/>
    <n v="219.05"/>
    <s v="Wallet"/>
    <s v="Gujarat"/>
    <x v="1"/>
    <x v="0"/>
    <s v="Returning"/>
  </r>
  <r>
    <s v="ORD100635"/>
    <x v="210"/>
    <s v="Rahul Singh"/>
    <x v="5"/>
    <s v="Study Table"/>
    <x v="28"/>
    <n v="5"/>
    <n v="27625"/>
    <n v="0.15"/>
    <n v="3178.21"/>
    <s v="Debit Card"/>
    <s v="Gujarat"/>
    <x v="1"/>
    <x v="0"/>
    <s v="Returning"/>
  </r>
  <r>
    <s v="ORD100636"/>
    <x v="16"/>
    <s v="Vivaan Agarwal"/>
    <x v="1"/>
    <s v="Smart Watch"/>
    <x v="7"/>
    <n v="3"/>
    <n v="13650"/>
    <n v="0.09"/>
    <n v="1712.37"/>
    <s v="Net Banking"/>
    <s v="Goa"/>
    <x v="13"/>
    <x v="0"/>
    <s v="New"/>
  </r>
  <r>
    <s v="ORD100637"/>
    <x v="21"/>
    <s v="Pooja Kumawat"/>
    <x v="1"/>
    <s v="Keyboard"/>
    <x v="6"/>
    <n v="5"/>
    <n v="7200"/>
    <n v="0.2"/>
    <n v="861.77"/>
    <s v="Credit Card"/>
    <s v="Tamil Nadu"/>
    <x v="19"/>
    <x v="1"/>
    <s v="New"/>
  </r>
  <r>
    <s v="ORD100638"/>
    <x v="149"/>
    <s v="Vikas Meena"/>
    <x v="1"/>
    <s v="Headphones"/>
    <x v="30"/>
    <n v="1"/>
    <n v="2075"/>
    <n v="0.17"/>
    <n v="358.8"/>
    <s v="UPI"/>
    <s v="Uttar Pradesh"/>
    <x v="6"/>
    <x v="2"/>
    <s v="Returning"/>
  </r>
  <r>
    <s v="ORD100639"/>
    <x v="298"/>
    <s v="Neha Sharma"/>
    <x v="4"/>
    <s v="Football"/>
    <x v="34"/>
    <n v="2"/>
    <n v="1920"/>
    <n v="0.2"/>
    <n v="358.65"/>
    <s v="Debit Card"/>
    <s v="Rajasthan"/>
    <x v="10"/>
    <x v="0"/>
    <s v="New"/>
  </r>
  <r>
    <s v="ORD100640"/>
    <x v="118"/>
    <s v="Aman Sharma"/>
    <x v="0"/>
    <s v="Bedsheet"/>
    <x v="21"/>
    <n v="1"/>
    <n v="996"/>
    <n v="0.17"/>
    <n v="166.4"/>
    <s v="Net Banking"/>
    <s v="West Bengal"/>
    <x v="18"/>
    <x v="3"/>
    <s v="Returning"/>
  </r>
  <r>
    <s v="ORD100641"/>
    <x v="166"/>
    <s v="Rahul Agarwal"/>
    <x v="6"/>
    <s v="Programming Book"/>
    <x v="13"/>
    <n v="2"/>
    <n v="1422"/>
    <n v="0.21"/>
    <n v="277.61"/>
    <s v="Cash on Delivery"/>
    <s v="West Bengal"/>
    <x v="18"/>
    <x v="3"/>
    <s v="Returning"/>
  </r>
  <r>
    <s v="ORD100642"/>
    <x v="106"/>
    <s v="Isha Meena"/>
    <x v="1"/>
    <s v="Tablet"/>
    <x v="1"/>
    <n v="5"/>
    <n v="77400"/>
    <n v="0.14000000000000001"/>
    <n v="9540.52"/>
    <s v="Credit Card"/>
    <s v="Bihar"/>
    <x v="5"/>
    <x v="3"/>
    <s v="Returning"/>
  </r>
  <r>
    <s v="ORD100643"/>
    <x v="288"/>
    <s v="Karan Gupta"/>
    <x v="0"/>
    <s v="Mixer Grinder"/>
    <x v="0"/>
    <n v="1"/>
    <n v="3870"/>
    <n v="0.14000000000000001"/>
    <n v="538.98"/>
    <s v="Wallet"/>
    <s v="Rajasthan"/>
    <x v="9"/>
    <x v="0"/>
    <s v="New"/>
  </r>
  <r>
    <s v="ORD100644"/>
    <x v="287"/>
    <s v="Rohit Kumawat"/>
    <x v="2"/>
    <s v="Jacket"/>
    <x v="2"/>
    <n v="3"/>
    <n v="6636"/>
    <n v="0.21"/>
    <n v="866.22"/>
    <s v="Net Banking"/>
    <s v="Gujarat"/>
    <x v="1"/>
    <x v="0"/>
    <s v="New"/>
  </r>
  <r>
    <s v="ORD100645"/>
    <x v="28"/>
    <s v="Nisha Jain"/>
    <x v="4"/>
    <s v="Football"/>
    <x v="34"/>
    <n v="1"/>
    <n v="960"/>
    <n v="0.2"/>
    <n v="105.03"/>
    <s v="Wallet"/>
    <s v="Tamil Nadu"/>
    <x v="19"/>
    <x v="1"/>
    <s v="Returning"/>
  </r>
  <r>
    <s v="ORD100646"/>
    <x v="48"/>
    <s v="Sahil Meena"/>
    <x v="6"/>
    <s v="Novel"/>
    <x v="14"/>
    <n v="2"/>
    <n v="770"/>
    <n v="0.23"/>
    <n v="130"/>
    <s v="UPI"/>
    <s v="Delhi"/>
    <x v="3"/>
    <x v="2"/>
    <s v="Returning"/>
  </r>
  <r>
    <s v="ORD100647"/>
    <x v="247"/>
    <s v="Kavya Meena"/>
    <x v="4"/>
    <s v="Football"/>
    <x v="34"/>
    <n v="2"/>
    <n v="2064"/>
    <n v="0.14000000000000001"/>
    <n v="261.45"/>
    <s v="Credit Card"/>
    <s v="Bihar"/>
    <x v="5"/>
    <x v="3"/>
    <s v="Returning"/>
  </r>
  <r>
    <s v="ORD100648"/>
    <x v="140"/>
    <s v="Simran Sharma"/>
    <x v="1"/>
    <s v="Mouse"/>
    <x v="36"/>
    <n v="3"/>
    <n v="2241"/>
    <n v="0.17"/>
    <n v="354.06"/>
    <s v="Cash on Delivery"/>
    <s v="Uttar Pradesh"/>
    <x v="16"/>
    <x v="2"/>
    <s v="New"/>
  </r>
  <r>
    <s v="ORD100649"/>
    <x v="220"/>
    <s v="Ananya Kumar"/>
    <x v="5"/>
    <s v="Office Chair"/>
    <x v="32"/>
    <n v="2"/>
    <n v="12600"/>
    <n v="0.16"/>
    <n v="1699.83"/>
    <s v="Cash on Delivery"/>
    <s v="Uttar Pradesh"/>
    <x v="16"/>
    <x v="2"/>
    <s v="New"/>
  </r>
  <r>
    <s v="ORD100650"/>
    <x v="149"/>
    <s v="Aditya Meena"/>
    <x v="1"/>
    <s v="Bluetooth Speaker"/>
    <x v="11"/>
    <n v="2"/>
    <n v="5880"/>
    <n v="0.16"/>
    <n v="849.54"/>
    <s v="Cash on Delivery"/>
    <s v="Rajasthan"/>
    <x v="9"/>
    <x v="0"/>
    <s v="Returning"/>
  </r>
  <r>
    <s v="ORD100651"/>
    <x v="299"/>
    <s v="Nisha Yadav"/>
    <x v="0"/>
    <s v="Bedsheet"/>
    <x v="21"/>
    <n v="1"/>
    <n v="984"/>
    <n v="0.18"/>
    <n v="158.96"/>
    <s v="Net Banking"/>
    <s v="Goa"/>
    <x v="13"/>
    <x v="0"/>
    <s v="New"/>
  </r>
  <r>
    <s v="ORD100652"/>
    <x v="120"/>
    <s v="Sneha Singh"/>
    <x v="5"/>
    <s v="Bookshelf"/>
    <x v="10"/>
    <n v="3"/>
    <n v="12450"/>
    <n v="0.17"/>
    <n v="873.13"/>
    <s v="UPI"/>
    <s v="Bihar"/>
    <x v="5"/>
    <x v="3"/>
    <s v="Returning"/>
  </r>
  <r>
    <s v="ORD100653"/>
    <x v="163"/>
    <s v="Aditya Jain"/>
    <x v="6"/>
    <s v="Novel"/>
    <x v="14"/>
    <n v="3"/>
    <n v="1125"/>
    <n v="0.25"/>
    <n v="198.07"/>
    <s v="UPI"/>
    <s v="Tamil Nadu"/>
    <x v="19"/>
    <x v="1"/>
    <s v="Returning"/>
  </r>
  <r>
    <s v="ORD100654"/>
    <x v="300"/>
    <s v="Neha Sharma"/>
    <x v="3"/>
    <s v="Face Wash"/>
    <x v="3"/>
    <n v="1"/>
    <n v="387"/>
    <n v="0.14000000000000001"/>
    <n v="66.84"/>
    <s v="Credit Card"/>
    <s v="Telangana"/>
    <x v="11"/>
    <x v="1"/>
    <s v="New"/>
  </r>
  <r>
    <s v="ORD100655"/>
    <x v="244"/>
    <s v="Rahul Kumar"/>
    <x v="0"/>
    <s v="Bedsheet"/>
    <x v="21"/>
    <n v="1"/>
    <n v="1020"/>
    <n v="0.15"/>
    <n v="188.31"/>
    <s v="UPI"/>
    <s v="Bihar"/>
    <x v="5"/>
    <x v="3"/>
    <s v="Returning"/>
  </r>
  <r>
    <s v="ORD100656"/>
    <x v="30"/>
    <s v="Aditya Meena"/>
    <x v="2"/>
    <s v="Jacket"/>
    <x v="2"/>
    <n v="5"/>
    <n v="11620"/>
    <n v="0.17"/>
    <n v="1985.02"/>
    <s v="Wallet"/>
    <s v="Madhya Pradesh"/>
    <x v="0"/>
    <x v="0"/>
    <s v="New"/>
  </r>
  <r>
    <s v="ORD100657"/>
    <x v="194"/>
    <s v="Pooja Verma"/>
    <x v="6"/>
    <s v="Novel"/>
    <x v="14"/>
    <n v="2"/>
    <n v="770"/>
    <n v="0.23"/>
    <n v="149.36000000000001"/>
    <s v="Credit Card"/>
    <s v="Kerala"/>
    <x v="14"/>
    <x v="1"/>
    <s v="New"/>
  </r>
  <r>
    <s v="ORD100658"/>
    <x v="301"/>
    <s v="Riya Meena"/>
    <x v="2"/>
    <s v="Men T-Shirt"/>
    <x v="24"/>
    <n v="2"/>
    <n v="1332"/>
    <n v="0.26"/>
    <n v="315.25"/>
    <s v="Net Banking"/>
    <s v="Delhi"/>
    <x v="3"/>
    <x v="2"/>
    <s v="Returning"/>
  </r>
  <r>
    <s v="ORD100659"/>
    <x v="302"/>
    <s v="Isha Singh"/>
    <x v="4"/>
    <s v="Football"/>
    <x v="34"/>
    <n v="1"/>
    <n v="960"/>
    <n v="0.2"/>
    <n v="132.52000000000001"/>
    <s v="Wallet"/>
    <s v="Odisha"/>
    <x v="17"/>
    <x v="3"/>
    <s v="New"/>
  </r>
  <r>
    <s v="ORD100660"/>
    <x v="102"/>
    <s v="Aarav Singh"/>
    <x v="0"/>
    <s v="Bedsheet"/>
    <x v="21"/>
    <n v="1"/>
    <n v="972"/>
    <n v="0.19"/>
    <n v="157.87"/>
    <s v="Credit Card"/>
    <s v="Maharashtra"/>
    <x v="12"/>
    <x v="0"/>
    <s v="Returning"/>
  </r>
  <r>
    <s v="ORD100661"/>
    <x v="114"/>
    <s v="Priya Yadav"/>
    <x v="5"/>
    <s v="Sofa"/>
    <x v="31"/>
    <n v="1"/>
    <n v="23240"/>
    <n v="0.17"/>
    <n v="2418.06"/>
    <s v="Debit Card"/>
    <s v="Uttar Pradesh"/>
    <x v="16"/>
    <x v="2"/>
    <s v="New"/>
  </r>
  <r>
    <s v="ORD100662"/>
    <x v="173"/>
    <s v="Rahul Kumawat"/>
    <x v="4"/>
    <s v="Yoga Mat"/>
    <x v="17"/>
    <n v="2"/>
    <n v="1440"/>
    <n v="0.2"/>
    <n v="250.64"/>
    <s v="Wallet"/>
    <s v="Kerala"/>
    <x v="14"/>
    <x v="1"/>
    <s v="New"/>
  </r>
  <r>
    <s v="ORD100663"/>
    <x v="161"/>
    <s v="Sneha Meena"/>
    <x v="3"/>
    <s v="Skin Care Kit"/>
    <x v="20"/>
    <n v="2"/>
    <n v="3916"/>
    <n v="0.11"/>
    <n v="661.82"/>
    <s v="Debit Card"/>
    <s v="West Bengal"/>
    <x v="18"/>
    <x v="3"/>
    <s v="New"/>
  </r>
  <r>
    <s v="ORD100664"/>
    <x v="69"/>
    <s v="Simran Kumar"/>
    <x v="0"/>
    <s v="Cookware Set"/>
    <x v="5"/>
    <n v="5"/>
    <n v="14175"/>
    <n v="0.19"/>
    <n v="1924.03"/>
    <s v="Net Banking"/>
    <s v="Gujarat"/>
    <x v="1"/>
    <x v="0"/>
    <s v="Returning"/>
  </r>
  <r>
    <s v="ORD100665"/>
    <x v="228"/>
    <s v="Ananya Sharma"/>
    <x v="6"/>
    <s v="Data Analytics Book"/>
    <x v="12"/>
    <n v="3"/>
    <n v="2772"/>
    <n v="0.23"/>
    <n v="527.66"/>
    <s v="Net Banking"/>
    <s v="Maharashtra"/>
    <x v="12"/>
    <x v="0"/>
    <s v="New"/>
  </r>
  <r>
    <s v="ORD100666"/>
    <x v="276"/>
    <s v="Sahil Sharma"/>
    <x v="1"/>
    <s v="Tablet"/>
    <x v="1"/>
    <n v="1"/>
    <n v="15660"/>
    <n v="0.13"/>
    <n v="1493.79"/>
    <s v="Credit Card"/>
    <s v="Haryana"/>
    <x v="8"/>
    <x v="2"/>
    <s v="Returning"/>
  </r>
  <r>
    <s v="ORD100667"/>
    <x v="220"/>
    <s v="Aditya Verma"/>
    <x v="5"/>
    <s v="Dining Table"/>
    <x v="23"/>
    <n v="3"/>
    <n v="54780"/>
    <n v="0.17"/>
    <n v="5790.05"/>
    <s v="Cash on Delivery"/>
    <s v="Haryana"/>
    <x v="8"/>
    <x v="2"/>
    <s v="Returning"/>
  </r>
  <r>
    <s v="ORD100668"/>
    <x v="273"/>
    <s v="Sneha Kumar"/>
    <x v="0"/>
    <s v="Cookware Set"/>
    <x v="5"/>
    <n v="2"/>
    <n v="5460"/>
    <n v="0.22"/>
    <n v="756.1"/>
    <s v="UPI"/>
    <s v="Uttar Pradesh"/>
    <x v="6"/>
    <x v="2"/>
    <s v="Returning"/>
  </r>
  <r>
    <s v="ORD100669"/>
    <x v="303"/>
    <s v="Rahul Yadav"/>
    <x v="1"/>
    <s v="Bluetooth Speaker"/>
    <x v="11"/>
    <n v="2"/>
    <n v="6020"/>
    <n v="0.14000000000000001"/>
    <n v="723.91"/>
    <s v="Debit Card"/>
    <s v="Gujarat"/>
    <x v="1"/>
    <x v="0"/>
    <s v="Returning"/>
  </r>
  <r>
    <s v="ORD100670"/>
    <x v="304"/>
    <s v="Isha Kumawat"/>
    <x v="6"/>
    <s v="Novel"/>
    <x v="14"/>
    <n v="1"/>
    <n v="375"/>
    <n v="0.25"/>
    <n v="73.069999999999993"/>
    <s v="Net Banking"/>
    <s v="Kerala"/>
    <x v="14"/>
    <x v="1"/>
    <s v="Returning"/>
  </r>
  <r>
    <s v="ORD100671"/>
    <x v="120"/>
    <s v="Karan Verma"/>
    <x v="2"/>
    <s v="Women Kurti"/>
    <x v="26"/>
    <n v="2"/>
    <n v="2324"/>
    <n v="0.17"/>
    <n v="402.64"/>
    <s v="Credit Card"/>
    <s v="Punjab"/>
    <x v="15"/>
    <x v="2"/>
    <s v="New"/>
  </r>
  <r>
    <s v="ORD100672"/>
    <x v="305"/>
    <s v="Sneha Agarwal"/>
    <x v="0"/>
    <s v="Bedsheet"/>
    <x v="21"/>
    <n v="3"/>
    <n v="2988"/>
    <n v="0.17"/>
    <n v="585.39"/>
    <s v="Debit Card"/>
    <s v="Tamil Nadu"/>
    <x v="19"/>
    <x v="1"/>
    <s v="New"/>
  </r>
  <r>
    <s v="ORD100673"/>
    <x v="272"/>
    <s v="Karan Kumawat"/>
    <x v="0"/>
    <s v="Water Bottle"/>
    <x v="35"/>
    <n v="1"/>
    <n v="640"/>
    <n v="0.2"/>
    <n v="113.51"/>
    <s v="UPI"/>
    <s v="Haryana"/>
    <x v="8"/>
    <x v="2"/>
    <s v="New"/>
  </r>
  <r>
    <s v="ORD100674"/>
    <x v="219"/>
    <s v="Rahul Singh"/>
    <x v="0"/>
    <s v="Air Fryer"/>
    <x v="15"/>
    <n v="3"/>
    <n v="17940"/>
    <n v="0.08"/>
    <n v="1964.47"/>
    <s v="Net Banking"/>
    <s v="Punjab"/>
    <x v="15"/>
    <x v="2"/>
    <s v="Returning"/>
  </r>
  <r>
    <s v="ORD100675"/>
    <x v="61"/>
    <s v="Rahul Sharma"/>
    <x v="1"/>
    <s v="Smart Watch"/>
    <x v="7"/>
    <n v="2"/>
    <n v="8900"/>
    <n v="0.11"/>
    <n v="1170.4100000000001"/>
    <s v="Credit Card"/>
    <s v="Kerala"/>
    <x v="14"/>
    <x v="1"/>
    <s v="Returning"/>
  </r>
  <r>
    <s v="ORD100676"/>
    <x v="86"/>
    <s v="Kavya Yadav"/>
    <x v="1"/>
    <s v="Laptop"/>
    <x v="25"/>
    <n v="1"/>
    <n v="47850"/>
    <n v="0.13"/>
    <n v="5895.86"/>
    <s v="Credit Card"/>
    <s v="Odisha"/>
    <x v="17"/>
    <x v="3"/>
    <s v="Returning"/>
  </r>
  <r>
    <s v="ORD100677"/>
    <x v="121"/>
    <s v="Riya Agarwal"/>
    <x v="3"/>
    <s v="Perfume"/>
    <x v="18"/>
    <n v="5"/>
    <n v="7380"/>
    <n v="0.18"/>
    <n v="1306.53"/>
    <s v="Credit Card"/>
    <s v="Gujarat"/>
    <x v="1"/>
    <x v="0"/>
    <s v="Returning"/>
  </r>
  <r>
    <s v="ORD100678"/>
    <x v="233"/>
    <s v="Aditya Meena"/>
    <x v="2"/>
    <s v="Jeans"/>
    <x v="8"/>
    <n v="3"/>
    <n v="4698"/>
    <n v="0.13"/>
    <n v="825.53"/>
    <s v="Cash on Delivery"/>
    <s v="Haryana"/>
    <x v="8"/>
    <x v="2"/>
    <s v="Returning"/>
  </r>
  <r>
    <s v="ORD100679"/>
    <x v="233"/>
    <s v="Pooja Kumar"/>
    <x v="6"/>
    <s v="Programming Book"/>
    <x v="13"/>
    <n v="1"/>
    <n v="747"/>
    <n v="0.17"/>
    <n v="135.12"/>
    <s v="UPI"/>
    <s v="Gujarat"/>
    <x v="1"/>
    <x v="0"/>
    <s v="New"/>
  </r>
  <r>
    <s v="ORD100680"/>
    <x v="156"/>
    <s v="Aditya Kumar"/>
    <x v="5"/>
    <s v="Office Chair"/>
    <x v="32"/>
    <n v="2"/>
    <n v="12450"/>
    <n v="0.17"/>
    <n v="1043.8499999999999"/>
    <s v="Debit Card"/>
    <s v="Rajasthan"/>
    <x v="10"/>
    <x v="0"/>
    <s v="Returning"/>
  </r>
  <r>
    <s v="ORD100681"/>
    <x v="72"/>
    <s v="Riya Agarwal"/>
    <x v="6"/>
    <s v="Data Analytics Book"/>
    <x v="12"/>
    <n v="3"/>
    <n v="2772"/>
    <n v="0.23"/>
    <n v="478.2"/>
    <s v="Net Banking"/>
    <s v="Odisha"/>
    <x v="17"/>
    <x v="3"/>
    <s v="New"/>
  </r>
  <r>
    <s v="ORD100682"/>
    <x v="289"/>
    <s v="Kavya Meena"/>
    <x v="4"/>
    <s v="Football"/>
    <x v="34"/>
    <n v="5"/>
    <n v="4980"/>
    <n v="0.17"/>
    <n v="877.36"/>
    <s v="Debit Card"/>
    <s v="Telangana"/>
    <x v="11"/>
    <x v="1"/>
    <s v="Returning"/>
  </r>
  <r>
    <s v="ORD100683"/>
    <x v="68"/>
    <s v="Vivaan Meena"/>
    <x v="3"/>
    <s v="Face Wash"/>
    <x v="3"/>
    <n v="1"/>
    <n v="342"/>
    <n v="0.24"/>
    <n v="68.319999999999993"/>
    <s v="UPI"/>
    <s v="Karnataka"/>
    <x v="2"/>
    <x v="1"/>
    <s v="Returning"/>
  </r>
  <r>
    <s v="ORD100684"/>
    <x v="229"/>
    <s v="Aditya Meena"/>
    <x v="0"/>
    <s v="Cookware Set"/>
    <x v="5"/>
    <n v="4"/>
    <n v="12180"/>
    <n v="0.13"/>
    <n v="1926.07"/>
    <s v="Net Banking"/>
    <s v="Rajasthan"/>
    <x v="10"/>
    <x v="0"/>
    <s v="New"/>
  </r>
  <r>
    <s v="ORD100685"/>
    <x v="284"/>
    <s v="Sahil Meena"/>
    <x v="6"/>
    <s v="Novel"/>
    <x v="14"/>
    <n v="1"/>
    <n v="390"/>
    <n v="0.22"/>
    <n v="83.78"/>
    <s v="UPI"/>
    <s v="Maharashtra"/>
    <x v="12"/>
    <x v="0"/>
    <s v="Returning"/>
  </r>
  <r>
    <s v="ORD100686"/>
    <x v="52"/>
    <s v="Neha Gupta"/>
    <x v="3"/>
    <s v="Shampoo"/>
    <x v="33"/>
    <n v="1"/>
    <n v="526.5"/>
    <n v="0.19"/>
    <n v="88.18"/>
    <s v="Wallet"/>
    <s v="Delhi"/>
    <x v="3"/>
    <x v="2"/>
    <s v="Returning"/>
  </r>
  <r>
    <s v="ORD100687"/>
    <x v="72"/>
    <s v="Simran Yadav"/>
    <x v="3"/>
    <s v="Shampoo"/>
    <x v="33"/>
    <n v="1"/>
    <n v="533"/>
    <n v="0.18"/>
    <n v="83.22"/>
    <s v="Cash on Delivery"/>
    <s v="Maharashtra"/>
    <x v="12"/>
    <x v="0"/>
    <s v="Returning"/>
  </r>
  <r>
    <s v="ORD100688"/>
    <x v="20"/>
    <s v="Nisha Meena"/>
    <x v="2"/>
    <s v="Jacket"/>
    <x v="2"/>
    <n v="1"/>
    <n v="2324"/>
    <n v="0.17"/>
    <n v="433.59"/>
    <s v="UPI"/>
    <s v="Haryana"/>
    <x v="8"/>
    <x v="2"/>
    <s v="New"/>
  </r>
  <r>
    <s v="ORD100689"/>
    <x v="306"/>
    <s v="Aarav Sharma"/>
    <x v="1"/>
    <s v="Smart Watch"/>
    <x v="7"/>
    <n v="1"/>
    <n v="4550"/>
    <n v="0.09"/>
    <n v="632.19000000000005"/>
    <s v="Debit Card"/>
    <s v="Madhya Pradesh"/>
    <x v="0"/>
    <x v="0"/>
    <s v="Returning"/>
  </r>
  <r>
    <s v="ORD100690"/>
    <x v="307"/>
    <s v="Rahul Kumar"/>
    <x v="5"/>
    <s v="Dining Table"/>
    <x v="23"/>
    <n v="4"/>
    <n v="70400"/>
    <n v="0.2"/>
    <n v="8616.6200000000008"/>
    <s v="Net Banking"/>
    <s v="Goa"/>
    <x v="13"/>
    <x v="0"/>
    <s v="New"/>
  </r>
  <r>
    <s v="ORD100691"/>
    <x v="70"/>
    <s v="Karan Jain"/>
    <x v="0"/>
    <s v="Air Fryer"/>
    <x v="15"/>
    <n v="1"/>
    <n v="5915"/>
    <n v="0.09"/>
    <n v="555.94000000000005"/>
    <s v="UPI"/>
    <s v="Uttar Pradesh"/>
    <x v="16"/>
    <x v="2"/>
    <s v="Returning"/>
  </r>
  <r>
    <s v="ORD100692"/>
    <x v="157"/>
    <s v="Vikas Jain"/>
    <x v="5"/>
    <s v="Dining Table"/>
    <x v="23"/>
    <n v="1"/>
    <n v="18480"/>
    <n v="0.16"/>
    <n v="2165.96"/>
    <s v="Wallet"/>
    <s v="Maharashtra"/>
    <x v="12"/>
    <x v="0"/>
    <s v="New"/>
  </r>
  <r>
    <s v="ORD100693"/>
    <x v="134"/>
    <s v="Sahil Jain"/>
    <x v="0"/>
    <s v="Cookware Set"/>
    <x v="5"/>
    <n v="3"/>
    <n v="9030"/>
    <n v="0.14000000000000001"/>
    <n v="1332.24"/>
    <s v="Debit Card"/>
    <s v="Karnataka"/>
    <x v="2"/>
    <x v="1"/>
    <s v="Returning"/>
  </r>
  <r>
    <s v="ORD100694"/>
    <x v="141"/>
    <s v="Riya Yadav"/>
    <x v="5"/>
    <s v="Bed"/>
    <x v="27"/>
    <n v="1"/>
    <n v="26700"/>
    <n v="0.11"/>
    <n v="2131.38"/>
    <s v="Net Banking"/>
    <s v="Odisha"/>
    <x v="17"/>
    <x v="3"/>
    <s v="Returning"/>
  </r>
  <r>
    <s v="ORD100695"/>
    <x v="102"/>
    <s v="Simran Gupta"/>
    <x v="5"/>
    <s v="Dining Table"/>
    <x v="23"/>
    <n v="1"/>
    <n v="17160"/>
    <n v="0.22"/>
    <n v="1873.11"/>
    <s v="Credit Card"/>
    <s v="Delhi"/>
    <x v="3"/>
    <x v="2"/>
    <s v="New"/>
  </r>
  <r>
    <s v="ORD100696"/>
    <x v="202"/>
    <s v="Aarav Meena"/>
    <x v="0"/>
    <s v="Water Bottle"/>
    <x v="35"/>
    <n v="2"/>
    <n v="1280"/>
    <n v="0.2"/>
    <n v="276.95"/>
    <s v="UPI"/>
    <s v="Goa"/>
    <x v="13"/>
    <x v="0"/>
    <s v="Returning"/>
  </r>
  <r>
    <s v="ORD100697"/>
    <x v="278"/>
    <s v="Sahil Kumawat"/>
    <x v="2"/>
    <s v="Men T-Shirt"/>
    <x v="24"/>
    <n v="5"/>
    <n v="3555"/>
    <n v="0.21"/>
    <n v="599.36"/>
    <s v="Debit Card"/>
    <s v="Telangana"/>
    <x v="11"/>
    <x v="1"/>
    <s v="Returning"/>
  </r>
  <r>
    <s v="ORD100698"/>
    <x v="127"/>
    <s v="Kavya Jain"/>
    <x v="6"/>
    <s v="Business Book"/>
    <x v="19"/>
    <n v="1"/>
    <n v="574"/>
    <n v="0.18"/>
    <n v="126.36"/>
    <s v="UPI"/>
    <s v="Karnataka"/>
    <x v="2"/>
    <x v="1"/>
    <s v="New"/>
  </r>
  <r>
    <s v="ORD100699"/>
    <x v="189"/>
    <s v="Rohit Jain"/>
    <x v="0"/>
    <s v="Bedsheet"/>
    <x v="21"/>
    <n v="4"/>
    <n v="3840"/>
    <n v="0.2"/>
    <n v="563.49"/>
    <s v="Debit Card"/>
    <s v="Gujarat"/>
    <x v="1"/>
    <x v="0"/>
    <s v="Returning"/>
  </r>
  <r>
    <s v="ORD100700"/>
    <x v="84"/>
    <s v="Rohit Yadav"/>
    <x v="1"/>
    <s v="Laptop"/>
    <x v="25"/>
    <n v="2"/>
    <n v="96800"/>
    <n v="0.12"/>
    <n v="9670.44"/>
    <s v="Net Banking"/>
    <s v="Tamil Nadu"/>
    <x v="19"/>
    <x v="1"/>
    <s v="Returning"/>
  </r>
  <r>
    <s v="ORD100701"/>
    <x v="85"/>
    <s v="Ananya Kumawat"/>
    <x v="1"/>
    <s v="Keyboard"/>
    <x v="6"/>
    <n v="5"/>
    <n v="8010"/>
    <n v="0.11"/>
    <n v="981.46"/>
    <s v="UPI"/>
    <s v="Uttar Pradesh"/>
    <x v="16"/>
    <x v="2"/>
    <s v="Returning"/>
  </r>
  <r>
    <s v="ORD100702"/>
    <x v="215"/>
    <s v="Kavya Jain"/>
    <x v="3"/>
    <s v="Shampoo"/>
    <x v="33"/>
    <n v="4"/>
    <n v="2132"/>
    <n v="0.18"/>
    <n v="360.28"/>
    <s v="Credit Card"/>
    <s v="Odisha"/>
    <x v="17"/>
    <x v="3"/>
    <s v="Returning"/>
  </r>
  <r>
    <s v="ORD100703"/>
    <x v="210"/>
    <s v="Vikas Singh"/>
    <x v="1"/>
    <s v="Mouse"/>
    <x v="36"/>
    <n v="2"/>
    <n v="1512"/>
    <n v="0.16"/>
    <n v="292.86"/>
    <s v="Debit Card"/>
    <s v="Rajasthan"/>
    <x v="7"/>
    <x v="0"/>
    <s v="New"/>
  </r>
  <r>
    <s v="ORD100704"/>
    <x v="308"/>
    <s v="Isha Yadav"/>
    <x v="4"/>
    <s v="Cricket Bat"/>
    <x v="16"/>
    <n v="3"/>
    <n v="8925"/>
    <n v="0.15"/>
    <n v="1127.3399999999999"/>
    <s v="Net Banking"/>
    <s v="Uttar Pradesh"/>
    <x v="6"/>
    <x v="2"/>
    <s v="Returning"/>
  </r>
  <r>
    <s v="ORD100705"/>
    <x v="143"/>
    <s v="Sneha Kumar"/>
    <x v="3"/>
    <s v="Face Wash"/>
    <x v="3"/>
    <n v="1"/>
    <n v="337.5"/>
    <n v="0.25"/>
    <n v="71.849999999999994"/>
    <s v="Wallet"/>
    <s v="Kerala"/>
    <x v="14"/>
    <x v="1"/>
    <s v="New"/>
  </r>
  <r>
    <s v="ORD100706"/>
    <x v="218"/>
    <s v="Simran Jain"/>
    <x v="1"/>
    <s v="Mouse"/>
    <x v="36"/>
    <n v="2"/>
    <n v="1548"/>
    <n v="0.14000000000000001"/>
    <n v="240.74"/>
    <s v="Wallet"/>
    <s v="Odisha"/>
    <x v="17"/>
    <x v="3"/>
    <s v="Returning"/>
  </r>
  <r>
    <s v="ORD100707"/>
    <x v="6"/>
    <s v="Aditya Agarwal"/>
    <x v="5"/>
    <s v="Sofa"/>
    <x v="31"/>
    <n v="1"/>
    <n v="21560"/>
    <n v="0.23"/>
    <n v="2667.41"/>
    <s v="Wallet"/>
    <s v="Madhya Pradesh"/>
    <x v="0"/>
    <x v="0"/>
    <s v="Returning"/>
  </r>
  <r>
    <s v="ORD100708"/>
    <x v="137"/>
    <s v="Nisha Kumar"/>
    <x v="5"/>
    <s v="Dining Table"/>
    <x v="23"/>
    <n v="2"/>
    <n v="36080"/>
    <n v="0.18"/>
    <n v="2449.23"/>
    <s v="UPI"/>
    <s v="Haryana"/>
    <x v="8"/>
    <x v="2"/>
    <s v="New"/>
  </r>
  <r>
    <s v="ORD100709"/>
    <x v="256"/>
    <s v="Aditya Gupta"/>
    <x v="0"/>
    <s v="Cookware Set"/>
    <x v="5"/>
    <n v="1"/>
    <n v="3150"/>
    <n v="0.1"/>
    <n v="447.33"/>
    <s v="Debit Card"/>
    <s v="Telangana"/>
    <x v="11"/>
    <x v="1"/>
    <s v="Returning"/>
  </r>
  <r>
    <s v="ORD100710"/>
    <x v="5"/>
    <s v="Rohit Meena"/>
    <x v="1"/>
    <s v="Tablet"/>
    <x v="1"/>
    <n v="2"/>
    <n v="34560"/>
    <n v="0.04"/>
    <n v="4480.3500000000004"/>
    <s v="Net Banking"/>
    <s v="Tamil Nadu"/>
    <x v="19"/>
    <x v="1"/>
    <s v="New"/>
  </r>
  <r>
    <s v="ORD100711"/>
    <x v="60"/>
    <s v="Aman Sharma"/>
    <x v="2"/>
    <s v="Sneakers"/>
    <x v="29"/>
    <n v="2"/>
    <n v="5040"/>
    <n v="0.16"/>
    <n v="776.87"/>
    <s v="Credit Card"/>
    <s v="Gujarat"/>
    <x v="1"/>
    <x v="0"/>
    <s v="New"/>
  </r>
  <r>
    <s v="ORD100712"/>
    <x v="284"/>
    <s v="Aarav Kumar"/>
    <x v="5"/>
    <s v="Sofa"/>
    <x v="31"/>
    <n v="4"/>
    <n v="89600"/>
    <n v="0.2"/>
    <n v="10072.34"/>
    <s v="Net Banking"/>
    <s v="Delhi"/>
    <x v="3"/>
    <x v="2"/>
    <s v="Returning"/>
  </r>
  <r>
    <s v="ORD100713"/>
    <x v="237"/>
    <s v="Neha Meena"/>
    <x v="6"/>
    <s v="Business Book"/>
    <x v="19"/>
    <n v="2"/>
    <n v="1148"/>
    <n v="0.18"/>
    <n v="169.7"/>
    <s v="Credit Card"/>
    <s v="Punjab"/>
    <x v="15"/>
    <x v="2"/>
    <s v="Returning"/>
  </r>
  <r>
    <s v="ORD100714"/>
    <x v="308"/>
    <s v="Karan Verma"/>
    <x v="1"/>
    <s v="Smart Watch"/>
    <x v="7"/>
    <n v="1"/>
    <n v="4450"/>
    <n v="0.11"/>
    <n v="620.54"/>
    <s v="Credit Card"/>
    <s v="Delhi"/>
    <x v="3"/>
    <x v="2"/>
    <s v="New"/>
  </r>
  <r>
    <s v="ORD100715"/>
    <x v="63"/>
    <s v="Rahul Kumar"/>
    <x v="3"/>
    <s v="Perfume"/>
    <x v="18"/>
    <n v="3"/>
    <n v="4698"/>
    <n v="0.13"/>
    <n v="860.38"/>
    <s v="Net Banking"/>
    <s v="Odisha"/>
    <x v="17"/>
    <x v="3"/>
    <s v="Returning"/>
  </r>
  <r>
    <s v="ORD100716"/>
    <x v="225"/>
    <s v="Rohit Verma"/>
    <x v="2"/>
    <s v="Jacket"/>
    <x v="2"/>
    <n v="3"/>
    <n v="6804"/>
    <n v="0.19"/>
    <n v="1156.27"/>
    <s v="Credit Card"/>
    <s v="West Bengal"/>
    <x v="18"/>
    <x v="3"/>
    <s v="Returning"/>
  </r>
  <r>
    <s v="ORD100717"/>
    <x v="131"/>
    <s v="Nisha Singh"/>
    <x v="5"/>
    <s v="Bookshelf"/>
    <x v="10"/>
    <n v="3"/>
    <n v="11550"/>
    <n v="0.23"/>
    <n v="1358.64"/>
    <s v="Debit Card"/>
    <s v="Karnataka"/>
    <x v="2"/>
    <x v="1"/>
    <s v="Returning"/>
  </r>
  <r>
    <s v="ORD100718"/>
    <x v="118"/>
    <s v="Vikas Kumawat"/>
    <x v="5"/>
    <s v="Bed"/>
    <x v="27"/>
    <n v="4"/>
    <n v="103200"/>
    <n v="0.14000000000000001"/>
    <n v="8918.39"/>
    <s v="Debit Card"/>
    <s v="Karnataka"/>
    <x v="2"/>
    <x v="1"/>
    <s v="Returning"/>
  </r>
  <r>
    <s v="ORD100719"/>
    <x v="186"/>
    <s v="Arjun Singh"/>
    <x v="3"/>
    <s v="Perfume"/>
    <x v="18"/>
    <n v="2"/>
    <n v="3024"/>
    <n v="0.16"/>
    <n v="652.14"/>
    <s v="Net Banking"/>
    <s v="Rajasthan"/>
    <x v="7"/>
    <x v="0"/>
    <s v="New"/>
  </r>
  <r>
    <s v="ORD100720"/>
    <x v="304"/>
    <s v="Riya Kumar"/>
    <x v="1"/>
    <s v="Bluetooth Speaker"/>
    <x v="11"/>
    <n v="3"/>
    <n v="8610"/>
    <n v="0.18"/>
    <n v="1301.1199999999999"/>
    <s v="Credit Card"/>
    <s v="Rajasthan"/>
    <x v="10"/>
    <x v="0"/>
    <s v="Returning"/>
  </r>
  <r>
    <s v="ORD100721"/>
    <x v="246"/>
    <s v="Priya Yadav"/>
    <x v="6"/>
    <s v="Data Analytics Book"/>
    <x v="12"/>
    <n v="2"/>
    <n v="1872"/>
    <n v="0.22"/>
    <n v="336.8"/>
    <s v="Net Banking"/>
    <s v="West Bengal"/>
    <x v="18"/>
    <x v="3"/>
    <s v="New"/>
  </r>
  <r>
    <s v="ORD100722"/>
    <x v="9"/>
    <s v="Aarav Verma"/>
    <x v="4"/>
    <s v="Badminton Racket"/>
    <x v="9"/>
    <n v="2"/>
    <n v="3024"/>
    <n v="0.16"/>
    <n v="382.09"/>
    <s v="Credit Card"/>
    <s v="Uttar Pradesh"/>
    <x v="16"/>
    <x v="2"/>
    <s v="New"/>
  </r>
  <r>
    <s v="ORD100723"/>
    <x v="291"/>
    <s v="Aditya Kumar"/>
    <x v="0"/>
    <s v="Mixer Grinder"/>
    <x v="0"/>
    <n v="2"/>
    <n v="7380"/>
    <n v="0.18"/>
    <n v="736.03"/>
    <s v="Credit Card"/>
    <s v="Odisha"/>
    <x v="17"/>
    <x v="3"/>
    <s v="New"/>
  </r>
  <r>
    <s v="ORD100724"/>
    <x v="130"/>
    <s v="Kavya Jain"/>
    <x v="6"/>
    <s v="Business Book"/>
    <x v="19"/>
    <n v="1"/>
    <n v="539"/>
    <n v="0.23"/>
    <n v="86.15"/>
    <s v="Debit Card"/>
    <s v="Maharashtra"/>
    <x v="12"/>
    <x v="0"/>
    <s v="Returning"/>
  </r>
  <r>
    <s v="ORD100725"/>
    <x v="273"/>
    <s v="Karan Kumar"/>
    <x v="0"/>
    <s v="Mixer Grinder"/>
    <x v="0"/>
    <n v="1"/>
    <n v="3870"/>
    <n v="0.14000000000000001"/>
    <n v="599.98"/>
    <s v="Net Banking"/>
    <s v="Karnataka"/>
    <x v="2"/>
    <x v="1"/>
    <s v="New"/>
  </r>
  <r>
    <s v="ORD100726"/>
    <x v="309"/>
    <s v="Aarav Sharma"/>
    <x v="2"/>
    <s v="Men T-Shirt"/>
    <x v="24"/>
    <n v="5"/>
    <n v="3555"/>
    <n v="0.21"/>
    <n v="717.17"/>
    <s v="UPI"/>
    <s v="Madhya Pradesh"/>
    <x v="0"/>
    <x v="0"/>
    <s v="Returning"/>
  </r>
  <r>
    <s v="ORD100727"/>
    <x v="105"/>
    <s v="Aarav Verma"/>
    <x v="1"/>
    <s v="Mouse"/>
    <x v="36"/>
    <n v="5"/>
    <n v="4005"/>
    <n v="0.11"/>
    <n v="713.2"/>
    <s v="Cash on Delivery"/>
    <s v="Uttar Pradesh"/>
    <x v="6"/>
    <x v="2"/>
    <s v="Returning"/>
  </r>
  <r>
    <s v="ORD100728"/>
    <x v="255"/>
    <s v="Isha Sharma"/>
    <x v="5"/>
    <s v="Bookshelf"/>
    <x v="10"/>
    <n v="2"/>
    <n v="8500"/>
    <n v="0.15"/>
    <n v="595.47"/>
    <s v="UPI"/>
    <s v="Odisha"/>
    <x v="17"/>
    <x v="3"/>
    <s v="Returning"/>
  </r>
  <r>
    <s v="ORD100729"/>
    <x v="310"/>
    <s v="Priya Jain"/>
    <x v="5"/>
    <s v="Dining Table"/>
    <x v="23"/>
    <n v="2"/>
    <n v="34320"/>
    <n v="0.22"/>
    <n v="4193.71"/>
    <s v="Cash on Delivery"/>
    <s v="Maharashtra"/>
    <x v="4"/>
    <x v="0"/>
    <s v="Returning"/>
  </r>
  <r>
    <s v="ORD100730"/>
    <x v="311"/>
    <s v="Neha Jain"/>
    <x v="3"/>
    <s v="Skin Care Kit"/>
    <x v="20"/>
    <n v="3"/>
    <n v="5742"/>
    <n v="0.13"/>
    <n v="921.86"/>
    <s v="Credit Card"/>
    <s v="Delhi"/>
    <x v="3"/>
    <x v="2"/>
    <s v="Returning"/>
  </r>
  <r>
    <s v="ORD100731"/>
    <x v="160"/>
    <s v="Karan Agarwal"/>
    <x v="6"/>
    <s v="Programming Book"/>
    <x v="13"/>
    <n v="3"/>
    <n v="2106"/>
    <n v="0.22"/>
    <n v="358.11"/>
    <s v="UPI"/>
    <s v="West Bengal"/>
    <x v="18"/>
    <x v="3"/>
    <s v="Returning"/>
  </r>
  <r>
    <s v="ORD100732"/>
    <x v="162"/>
    <s v="Pooja Kumar"/>
    <x v="3"/>
    <s v="Shampoo"/>
    <x v="33"/>
    <n v="3"/>
    <n v="1501.5"/>
    <n v="0.23"/>
    <n v="255.8"/>
    <s v="Net Banking"/>
    <s v="West Bengal"/>
    <x v="18"/>
    <x v="3"/>
    <s v="New"/>
  </r>
  <r>
    <s v="ORD100733"/>
    <x v="71"/>
    <s v="Karan Agarwal"/>
    <x v="2"/>
    <s v="Men T-Shirt"/>
    <x v="24"/>
    <n v="2"/>
    <n v="1350"/>
    <n v="0.25"/>
    <n v="350.81"/>
    <s v="Debit Card"/>
    <s v="Madhya Pradesh"/>
    <x v="0"/>
    <x v="0"/>
    <s v="New"/>
  </r>
  <r>
    <s v="ORD100734"/>
    <x v="23"/>
    <s v="Pooja Yadav"/>
    <x v="2"/>
    <s v="Women Kurti"/>
    <x v="26"/>
    <n v="3"/>
    <n v="3150"/>
    <n v="0.25"/>
    <n v="557.52"/>
    <s v="UPI"/>
    <s v="Odisha"/>
    <x v="17"/>
    <x v="3"/>
    <s v="Returning"/>
  </r>
  <r>
    <s v="ORD100735"/>
    <x v="207"/>
    <s v="Priya Jain"/>
    <x v="3"/>
    <s v="Skin Care Kit"/>
    <x v="20"/>
    <n v="1"/>
    <n v="1892"/>
    <n v="0.14000000000000001"/>
    <n v="337.75"/>
    <s v="Wallet"/>
    <s v="Gujarat"/>
    <x v="1"/>
    <x v="0"/>
    <s v="Returning"/>
  </r>
  <r>
    <s v="ORD100736"/>
    <x v="270"/>
    <s v="Vikas Verma"/>
    <x v="4"/>
    <s v="Football"/>
    <x v="34"/>
    <n v="3"/>
    <n v="3096"/>
    <n v="0.14000000000000001"/>
    <n v="461.39"/>
    <s v="Cash on Delivery"/>
    <s v="Uttar Pradesh"/>
    <x v="16"/>
    <x v="2"/>
    <s v="New"/>
  </r>
  <r>
    <s v="ORD100737"/>
    <x v="111"/>
    <s v="Aman Kumar"/>
    <x v="1"/>
    <s v="Bluetooth Speaker"/>
    <x v="11"/>
    <n v="5"/>
    <n v="14525"/>
    <n v="0.17"/>
    <n v="1103.56"/>
    <s v="Credit Card"/>
    <s v="Maharashtra"/>
    <x v="12"/>
    <x v="0"/>
    <s v="New"/>
  </r>
  <r>
    <s v="ORD100738"/>
    <x v="312"/>
    <s v="Nisha Meena"/>
    <x v="5"/>
    <s v="Sofa"/>
    <x v="31"/>
    <n v="2"/>
    <n v="44240"/>
    <n v="0.21"/>
    <n v="6058.75"/>
    <s v="UPI"/>
    <s v="Maharashtra"/>
    <x v="12"/>
    <x v="0"/>
    <s v="Returning"/>
  </r>
  <r>
    <s v="ORD100739"/>
    <x v="120"/>
    <s v="Kavya Meena"/>
    <x v="2"/>
    <s v="Women Kurti"/>
    <x v="26"/>
    <n v="3"/>
    <n v="3234"/>
    <n v="0.23"/>
    <n v="802.41"/>
    <s v="Wallet"/>
    <s v="Uttar Pradesh"/>
    <x v="6"/>
    <x v="2"/>
    <s v="New"/>
  </r>
  <r>
    <s v="ORD100740"/>
    <x v="113"/>
    <s v="Priya Kumar"/>
    <x v="1"/>
    <s v="Keyboard"/>
    <x v="6"/>
    <n v="5"/>
    <n v="8100"/>
    <n v="0.1"/>
    <n v="910.08"/>
    <s v="Wallet"/>
    <s v="Odisha"/>
    <x v="17"/>
    <x v="3"/>
    <s v="New"/>
  </r>
  <r>
    <s v="ORD100741"/>
    <x v="70"/>
    <s v="Aditya Meena"/>
    <x v="6"/>
    <s v="Programming Book"/>
    <x v="13"/>
    <n v="1"/>
    <n v="693"/>
    <n v="0.23"/>
    <n v="105.31"/>
    <s v="Debit Card"/>
    <s v="Telangana"/>
    <x v="11"/>
    <x v="1"/>
    <s v="Returning"/>
  </r>
  <r>
    <s v="ORD100742"/>
    <x v="236"/>
    <s v="Aditya Verma"/>
    <x v="3"/>
    <s v="Shampoo"/>
    <x v="33"/>
    <n v="1"/>
    <n v="520"/>
    <n v="0.2"/>
    <n v="103.88"/>
    <s v="Debit Card"/>
    <s v="Uttar Pradesh"/>
    <x v="16"/>
    <x v="2"/>
    <s v="New"/>
  </r>
  <r>
    <s v="ORD100743"/>
    <x v="194"/>
    <s v="Vikas Kumar"/>
    <x v="0"/>
    <s v="Coffee Maker"/>
    <x v="4"/>
    <n v="3"/>
    <n v="12150"/>
    <n v="0.19"/>
    <n v="1780.53"/>
    <s v="Debit Card"/>
    <s v="Punjab"/>
    <x v="15"/>
    <x v="2"/>
    <s v="New"/>
  </r>
  <r>
    <s v="ORD100744"/>
    <x v="210"/>
    <s v="Riya Gupta"/>
    <x v="0"/>
    <s v="Water Bottle"/>
    <x v="35"/>
    <n v="2"/>
    <n v="1296"/>
    <n v="0.19"/>
    <n v="215.51"/>
    <s v="Debit Card"/>
    <s v="Goa"/>
    <x v="13"/>
    <x v="0"/>
    <s v="New"/>
  </r>
  <r>
    <s v="ORD100745"/>
    <x v="263"/>
    <s v="Isha Kumawat"/>
    <x v="1"/>
    <s v="Laptop"/>
    <x v="25"/>
    <n v="1"/>
    <n v="50050"/>
    <n v="0.09"/>
    <n v="5918.87"/>
    <s v="UPI"/>
    <s v="Uttar Pradesh"/>
    <x v="16"/>
    <x v="2"/>
    <s v="Returning"/>
  </r>
  <r>
    <s v="ORD100746"/>
    <x v="313"/>
    <s v="Aman Sharma"/>
    <x v="5"/>
    <s v="Bookshelf"/>
    <x v="10"/>
    <n v="4"/>
    <n v="16400"/>
    <n v="0.18"/>
    <n v="1844.11"/>
    <s v="Credit Card"/>
    <s v="Madhya Pradesh"/>
    <x v="0"/>
    <x v="0"/>
    <s v="Returning"/>
  </r>
  <r>
    <s v="ORD100747"/>
    <x v="48"/>
    <s v="Aman Jain"/>
    <x v="4"/>
    <s v="Yoga Mat"/>
    <x v="17"/>
    <n v="1"/>
    <n v="720"/>
    <n v="0.2"/>
    <n v="155.38999999999999"/>
    <s v="Credit Card"/>
    <s v="Bihar"/>
    <x v="5"/>
    <x v="3"/>
    <s v="New"/>
  </r>
  <r>
    <s v="ORD100748"/>
    <x v="102"/>
    <s v="Neha Kumar"/>
    <x v="1"/>
    <s v="Headphones"/>
    <x v="30"/>
    <n v="1"/>
    <n v="2125"/>
    <n v="0.15"/>
    <n v="309.8"/>
    <s v="UPI"/>
    <s v="Maharashtra"/>
    <x v="12"/>
    <x v="0"/>
    <s v="Returning"/>
  </r>
  <r>
    <s v="ORD100749"/>
    <x v="314"/>
    <s v="Priya Singh"/>
    <x v="1"/>
    <s v="Mouse"/>
    <x v="36"/>
    <n v="2"/>
    <n v="1476"/>
    <n v="0.18"/>
    <n v="225.96"/>
    <s v="Net Banking"/>
    <s v="Gujarat"/>
    <x v="1"/>
    <x v="0"/>
    <s v="Returning"/>
  </r>
  <r>
    <s v="ORD100750"/>
    <x v="156"/>
    <s v="Aman Agarwal"/>
    <x v="0"/>
    <s v="Water Bottle"/>
    <x v="35"/>
    <n v="2"/>
    <n v="1328"/>
    <n v="0.17"/>
    <n v="239.02"/>
    <s v="Debit Card"/>
    <s v="Rajasthan"/>
    <x v="9"/>
    <x v="0"/>
    <s v="Returning"/>
  </r>
  <r>
    <s v="ORD100751"/>
    <x v="105"/>
    <s v="Rohit Sharma"/>
    <x v="6"/>
    <s v="Data Analytics Book"/>
    <x v="12"/>
    <n v="3"/>
    <n v="3096"/>
    <n v="0.14000000000000001"/>
    <n v="647.16"/>
    <s v="Cash on Delivery"/>
    <s v="Uttar Pradesh"/>
    <x v="16"/>
    <x v="2"/>
    <s v="New"/>
  </r>
  <r>
    <s v="ORD100752"/>
    <x v="71"/>
    <s v="Aarav Sharma"/>
    <x v="6"/>
    <s v="Data Analytics Book"/>
    <x v="12"/>
    <n v="2"/>
    <n v="2064"/>
    <n v="0.14000000000000001"/>
    <n v="346.98"/>
    <s v="Wallet"/>
    <s v="Haryana"/>
    <x v="8"/>
    <x v="2"/>
    <s v="New"/>
  </r>
  <r>
    <s v="ORD100753"/>
    <x v="250"/>
    <s v="Isha Yadav"/>
    <x v="6"/>
    <s v="Novel"/>
    <x v="14"/>
    <n v="2"/>
    <n v="750"/>
    <n v="0.25"/>
    <n v="167.9"/>
    <s v="Wallet"/>
    <s v="Rajasthan"/>
    <x v="9"/>
    <x v="0"/>
    <s v="Returning"/>
  </r>
  <r>
    <s v="ORD100754"/>
    <x v="66"/>
    <s v="Arjun Verma"/>
    <x v="2"/>
    <s v="Men T-Shirt"/>
    <x v="24"/>
    <n v="2"/>
    <n v="1494"/>
    <n v="0.17"/>
    <n v="229.59"/>
    <s v="Cash on Delivery"/>
    <s v="Delhi"/>
    <x v="3"/>
    <x v="2"/>
    <s v="New"/>
  </r>
  <r>
    <s v="ORD100755"/>
    <x v="211"/>
    <s v="Ananya Jain"/>
    <x v="0"/>
    <s v="Coffee Maker"/>
    <x v="4"/>
    <n v="2"/>
    <n v="8800"/>
    <n v="0.12"/>
    <n v="1105.0899999999999"/>
    <s v="Debit Card"/>
    <s v="Punjab"/>
    <x v="15"/>
    <x v="2"/>
    <s v="New"/>
  </r>
  <r>
    <s v="ORD100756"/>
    <x v="301"/>
    <s v="Simran Sharma"/>
    <x v="0"/>
    <s v="Mixer Grinder"/>
    <x v="0"/>
    <n v="2"/>
    <n v="7650"/>
    <n v="0.15"/>
    <n v="875.59"/>
    <s v="UPI"/>
    <s v="Odisha"/>
    <x v="17"/>
    <x v="3"/>
    <s v="New"/>
  </r>
  <r>
    <s v="ORD100757"/>
    <x v="260"/>
    <s v="Pooja Sharma"/>
    <x v="5"/>
    <s v="Dining Table"/>
    <x v="23"/>
    <n v="4"/>
    <n v="77440"/>
    <n v="0.12"/>
    <n v="7688.52"/>
    <s v="Debit Card"/>
    <s v="Tamil Nadu"/>
    <x v="19"/>
    <x v="1"/>
    <s v="New"/>
  </r>
  <r>
    <s v="ORD100758"/>
    <x v="239"/>
    <s v="Aditya Sharma"/>
    <x v="2"/>
    <s v="Men T-Shirt"/>
    <x v="24"/>
    <n v="4"/>
    <n v="3132"/>
    <n v="0.13"/>
    <n v="787.87"/>
    <s v="Debit Card"/>
    <s v="Uttar Pradesh"/>
    <x v="16"/>
    <x v="2"/>
    <s v="Returning"/>
  </r>
  <r>
    <s v="ORD100759"/>
    <x v="107"/>
    <s v="Rohit Verma"/>
    <x v="5"/>
    <s v="Sofa"/>
    <x v="31"/>
    <n v="3"/>
    <n v="66360"/>
    <n v="0.21"/>
    <n v="7472.61"/>
    <s v="Net Banking"/>
    <s v="Bihar"/>
    <x v="5"/>
    <x v="3"/>
    <s v="New"/>
  </r>
  <r>
    <s v="ORD100760"/>
    <x v="2"/>
    <s v="Rohit Kumar"/>
    <x v="2"/>
    <s v="Sneakers"/>
    <x v="29"/>
    <n v="4"/>
    <n v="9960"/>
    <n v="0.17"/>
    <n v="1013.57"/>
    <s v="Wallet"/>
    <s v="Madhya Pradesh"/>
    <x v="0"/>
    <x v="0"/>
    <s v="Returning"/>
  </r>
  <r>
    <s v="ORD100761"/>
    <x v="97"/>
    <s v="Rohit Meena"/>
    <x v="1"/>
    <s v="Laptop"/>
    <x v="25"/>
    <n v="2"/>
    <n v="100100"/>
    <n v="0.09"/>
    <n v="11553.21"/>
    <s v="Credit Card"/>
    <s v="West Bengal"/>
    <x v="18"/>
    <x v="3"/>
    <s v="Returning"/>
  </r>
  <r>
    <s v="ORD100762"/>
    <x v="315"/>
    <s v="Aman Yadav"/>
    <x v="6"/>
    <s v="Novel"/>
    <x v="14"/>
    <n v="2"/>
    <n v="730"/>
    <n v="0.27"/>
    <n v="147.58000000000001"/>
    <s v="Credit Card"/>
    <s v="Haryana"/>
    <x v="8"/>
    <x v="2"/>
    <s v="New"/>
  </r>
  <r>
    <s v="ORD100763"/>
    <x v="159"/>
    <s v="Vikas Kumawat"/>
    <x v="1"/>
    <s v="Smartphone"/>
    <x v="22"/>
    <n v="2"/>
    <n v="43000"/>
    <n v="0.14000000000000001"/>
    <n v="2821.21"/>
    <s v="Debit Card"/>
    <s v="Gujarat"/>
    <x v="1"/>
    <x v="0"/>
    <s v="New"/>
  </r>
  <r>
    <s v="ORD100764"/>
    <x v="228"/>
    <s v="Sneha Verma"/>
    <x v="5"/>
    <s v="Study Table"/>
    <x v="28"/>
    <n v="2"/>
    <n v="10530"/>
    <n v="0.19"/>
    <n v="1375.19"/>
    <s v="Credit Card"/>
    <s v="Delhi"/>
    <x v="3"/>
    <x v="2"/>
    <s v="Returning"/>
  </r>
  <r>
    <s v="ORD100765"/>
    <x v="316"/>
    <s v="Nisha Agarwal"/>
    <x v="1"/>
    <s v="Smartphone"/>
    <x v="22"/>
    <n v="3"/>
    <n v="64500"/>
    <n v="0.14000000000000001"/>
    <n v="10574.34"/>
    <s v="Wallet"/>
    <s v="Delhi"/>
    <x v="3"/>
    <x v="2"/>
    <s v="Returning"/>
  </r>
  <r>
    <s v="ORD100766"/>
    <x v="317"/>
    <s v="Rahul Sharma"/>
    <x v="1"/>
    <s v="Laptop"/>
    <x v="25"/>
    <n v="1"/>
    <n v="47300"/>
    <n v="0.14000000000000001"/>
    <n v="4754.8100000000004"/>
    <s v="Cash on Delivery"/>
    <s v="Maharashtra"/>
    <x v="4"/>
    <x v="0"/>
    <s v="Returning"/>
  </r>
  <r>
    <s v="ORD100767"/>
    <x v="14"/>
    <s v="Riya Sharma"/>
    <x v="4"/>
    <s v="Yoga Mat"/>
    <x v="17"/>
    <n v="3"/>
    <n v="2214"/>
    <n v="0.18"/>
    <n v="439.15"/>
    <s v="Net Banking"/>
    <s v="Bihar"/>
    <x v="5"/>
    <x v="3"/>
    <s v="Returning"/>
  </r>
  <r>
    <s v="ORD100768"/>
    <x v="154"/>
    <s v="Vivaan Meena"/>
    <x v="1"/>
    <s v="Laptop"/>
    <x v="25"/>
    <n v="1"/>
    <n v="44000"/>
    <n v="0.2"/>
    <n v="7077.07"/>
    <s v="Credit Card"/>
    <s v="Delhi"/>
    <x v="3"/>
    <x v="2"/>
    <s v="Returning"/>
  </r>
  <r>
    <s v="ORD100769"/>
    <x v="57"/>
    <s v="Neha Singh"/>
    <x v="5"/>
    <s v="Bed"/>
    <x v="27"/>
    <n v="5"/>
    <n v="120000"/>
    <n v="0.2"/>
    <n v="14872.02"/>
    <s v="UPI"/>
    <s v="Madhya Pradesh"/>
    <x v="0"/>
    <x v="0"/>
    <s v="Returning"/>
  </r>
  <r>
    <s v="ORD100770"/>
    <x v="117"/>
    <s v="Sahil Kumar"/>
    <x v="4"/>
    <s v="Cricket Bat"/>
    <x v="16"/>
    <n v="3"/>
    <n v="9240"/>
    <n v="0.12"/>
    <n v="1707.7"/>
    <s v="Wallet"/>
    <s v="Haryana"/>
    <x v="8"/>
    <x v="2"/>
    <s v="Returning"/>
  </r>
  <r>
    <s v="ORD100771"/>
    <x v="253"/>
    <s v="Ananya Sharma"/>
    <x v="5"/>
    <s v="Office Chair"/>
    <x v="32"/>
    <n v="2"/>
    <n v="11250"/>
    <n v="0.25"/>
    <n v="1620.63"/>
    <s v="Net Banking"/>
    <s v="Punjab"/>
    <x v="15"/>
    <x v="2"/>
    <s v="Returning"/>
  </r>
  <r>
    <s v="ORD100772"/>
    <x v="67"/>
    <s v="Vikas Agarwal"/>
    <x v="0"/>
    <s v="Cookware Set"/>
    <x v="5"/>
    <n v="5"/>
    <n v="14875"/>
    <n v="0.15"/>
    <n v="2633.66"/>
    <s v="Wallet"/>
    <s v="Madhya Pradesh"/>
    <x v="0"/>
    <x v="0"/>
    <s v="Returning"/>
  </r>
  <r>
    <s v="ORD100773"/>
    <x v="23"/>
    <s v="Kavya Sharma"/>
    <x v="0"/>
    <s v="Water Bottle"/>
    <x v="35"/>
    <n v="2"/>
    <n v="1168"/>
    <n v="0.27"/>
    <n v="168.31"/>
    <s v="Net Banking"/>
    <s v="Punjab"/>
    <x v="15"/>
    <x v="2"/>
    <s v="Returning"/>
  </r>
  <r>
    <s v="ORD100774"/>
    <x v="14"/>
    <s v="Aarav Kumar"/>
    <x v="0"/>
    <s v="Bedsheet"/>
    <x v="21"/>
    <n v="1"/>
    <n v="984"/>
    <n v="0.18"/>
    <n v="162.96"/>
    <s v="Net Banking"/>
    <s v="Maharashtra"/>
    <x v="4"/>
    <x v="0"/>
    <s v="Returning"/>
  </r>
  <r>
    <s v="ORD100775"/>
    <x v="39"/>
    <s v="Pooja Agarwal"/>
    <x v="2"/>
    <s v="Sneakers"/>
    <x v="29"/>
    <n v="1"/>
    <n v="2460"/>
    <n v="0.18"/>
    <n v="359.61"/>
    <s v="Cash on Delivery"/>
    <s v="Haryana"/>
    <x v="8"/>
    <x v="2"/>
    <s v="New"/>
  </r>
  <r>
    <s v="ORD100776"/>
    <x v="318"/>
    <s v="Aman Kumawat"/>
    <x v="2"/>
    <s v="Men T-Shirt"/>
    <x v="24"/>
    <n v="4"/>
    <n v="3024"/>
    <n v="0.16"/>
    <n v="552.08000000000004"/>
    <s v="Cash on Delivery"/>
    <s v="Haryana"/>
    <x v="8"/>
    <x v="2"/>
    <s v="New"/>
  </r>
  <r>
    <s v="ORD100777"/>
    <x v="224"/>
    <s v="Vikas Meena"/>
    <x v="5"/>
    <s v="Office Chair"/>
    <x v="32"/>
    <n v="1"/>
    <n v="5700"/>
    <n v="0.24"/>
    <n v="963.29"/>
    <s v="Credit Card"/>
    <s v="Maharashtra"/>
    <x v="12"/>
    <x v="0"/>
    <s v="New"/>
  </r>
  <r>
    <s v="ORD100778"/>
    <x v="141"/>
    <s v="Ananya Verma"/>
    <x v="0"/>
    <s v="Mixer Grinder"/>
    <x v="0"/>
    <n v="3"/>
    <n v="12015"/>
    <n v="0.11"/>
    <n v="1462.71"/>
    <s v="Wallet"/>
    <s v="Maharashtra"/>
    <x v="4"/>
    <x v="0"/>
    <s v="Returning"/>
  </r>
  <r>
    <s v="ORD100779"/>
    <x v="168"/>
    <s v="Kavya Singh"/>
    <x v="6"/>
    <s v="Data Analytics Book"/>
    <x v="12"/>
    <n v="1"/>
    <n v="1032"/>
    <n v="0.14000000000000001"/>
    <n v="202.71"/>
    <s v="Net Banking"/>
    <s v="Rajasthan"/>
    <x v="10"/>
    <x v="0"/>
    <s v="New"/>
  </r>
  <r>
    <s v="ORD100780"/>
    <x v="159"/>
    <s v="Sneha Verma"/>
    <x v="0"/>
    <s v="Bedsheet"/>
    <x v="21"/>
    <n v="5"/>
    <n v="4860"/>
    <n v="0.19"/>
    <n v="958.93"/>
    <s v="Net Banking"/>
    <s v="Delhi"/>
    <x v="3"/>
    <x v="2"/>
    <s v="Returning"/>
  </r>
  <r>
    <s v="ORD100781"/>
    <x v="71"/>
    <s v="Nisha Sharma"/>
    <x v="1"/>
    <s v="Laptop"/>
    <x v="25"/>
    <n v="2"/>
    <n v="105600"/>
    <n v="0.04"/>
    <n v="11946.41"/>
    <s v="Net Banking"/>
    <s v="Karnataka"/>
    <x v="2"/>
    <x v="1"/>
    <s v="New"/>
  </r>
  <r>
    <s v="ORD100782"/>
    <x v="214"/>
    <s v="Isha Sharma"/>
    <x v="5"/>
    <s v="Dining Table"/>
    <x v="23"/>
    <n v="5"/>
    <n v="88000"/>
    <n v="0.2"/>
    <n v="4869.8500000000004"/>
    <s v="UPI"/>
    <s v="Telangana"/>
    <x v="11"/>
    <x v="1"/>
    <s v="Returning"/>
  </r>
  <r>
    <s v="ORD100783"/>
    <x v="309"/>
    <s v="Karan Gupta"/>
    <x v="1"/>
    <s v="Smart Watch"/>
    <x v="7"/>
    <n v="2"/>
    <n v="8700"/>
    <n v="0.13"/>
    <n v="1444.59"/>
    <s v="UPI"/>
    <s v="Maharashtra"/>
    <x v="12"/>
    <x v="0"/>
    <s v="Returning"/>
  </r>
  <r>
    <s v="ORD100784"/>
    <x v="118"/>
    <s v="Arjun Meena"/>
    <x v="1"/>
    <s v="Tablet"/>
    <x v="1"/>
    <n v="4"/>
    <n v="63360"/>
    <n v="0.12"/>
    <n v="7845.27"/>
    <s v="Debit Card"/>
    <s v="Rajasthan"/>
    <x v="9"/>
    <x v="0"/>
    <s v="Returning"/>
  </r>
  <r>
    <s v="ORD100785"/>
    <x v="72"/>
    <s v="Rohit Kumar"/>
    <x v="4"/>
    <s v="Cricket Bat"/>
    <x v="16"/>
    <n v="1"/>
    <n v="3150"/>
    <n v="0.1"/>
    <n v="476.44"/>
    <s v="Net Banking"/>
    <s v="Rajasthan"/>
    <x v="10"/>
    <x v="0"/>
    <s v="Returning"/>
  </r>
  <r>
    <s v="ORD100786"/>
    <x v="119"/>
    <s v="Pooja Gupta"/>
    <x v="5"/>
    <s v="Study Table"/>
    <x v="28"/>
    <n v="2"/>
    <n v="11050"/>
    <n v="0.15"/>
    <n v="1041.42"/>
    <s v="Net Banking"/>
    <s v="Uttar Pradesh"/>
    <x v="6"/>
    <x v="2"/>
    <s v="New"/>
  </r>
  <r>
    <s v="ORD100787"/>
    <x v="182"/>
    <s v="Nisha Verma"/>
    <x v="0"/>
    <s v="Cookware Set"/>
    <x v="5"/>
    <n v="4"/>
    <n v="11340"/>
    <n v="0.19"/>
    <n v="1945.52"/>
    <s v="Wallet"/>
    <s v="Haryana"/>
    <x v="8"/>
    <x v="2"/>
    <s v="New"/>
  </r>
  <r>
    <s v="ORD100788"/>
    <x v="208"/>
    <s v="Sahil Yadav"/>
    <x v="1"/>
    <s v="Bluetooth Speaker"/>
    <x v="11"/>
    <n v="2"/>
    <n v="6020"/>
    <n v="0.14000000000000001"/>
    <n v="744.88"/>
    <s v="Wallet"/>
    <s v="Telangana"/>
    <x v="11"/>
    <x v="1"/>
    <s v="Returning"/>
  </r>
  <r>
    <s v="ORD100789"/>
    <x v="168"/>
    <s v="Neha Agarwal"/>
    <x v="5"/>
    <s v="Bookshelf"/>
    <x v="10"/>
    <n v="3"/>
    <n v="13500"/>
    <n v="0.1"/>
    <n v="1590.13"/>
    <s v="UPI"/>
    <s v="Bihar"/>
    <x v="5"/>
    <x v="3"/>
    <s v="Returning"/>
  </r>
  <r>
    <s v="ORD100790"/>
    <x v="235"/>
    <s v="Vivaan Agarwal"/>
    <x v="5"/>
    <s v="Dining Table"/>
    <x v="23"/>
    <n v="1"/>
    <n v="16720"/>
    <n v="0.24"/>
    <n v="1628.62"/>
    <s v="Debit Card"/>
    <s v="Rajasthan"/>
    <x v="9"/>
    <x v="0"/>
    <s v="New"/>
  </r>
  <r>
    <s v="ORD100791"/>
    <x v="319"/>
    <s v="Kavya Kumar"/>
    <x v="4"/>
    <s v="Badminton Racket"/>
    <x v="9"/>
    <n v="2"/>
    <n v="3132"/>
    <n v="0.13"/>
    <n v="538.4"/>
    <s v="UPI"/>
    <s v="Haryana"/>
    <x v="8"/>
    <x v="2"/>
    <s v="New"/>
  </r>
  <r>
    <s v="ORD100792"/>
    <x v="244"/>
    <s v="Sahil Yadav"/>
    <x v="6"/>
    <s v="Business Book"/>
    <x v="19"/>
    <n v="5"/>
    <n v="2485"/>
    <n v="0.28999999999999998"/>
    <n v="457.97"/>
    <s v="Debit Card"/>
    <s v="Haryana"/>
    <x v="8"/>
    <x v="2"/>
    <s v="Returning"/>
  </r>
  <r>
    <s v="ORD100793"/>
    <x v="320"/>
    <s v="Riya Verma"/>
    <x v="5"/>
    <s v="Bed"/>
    <x v="27"/>
    <n v="1"/>
    <n v="25500"/>
    <n v="0.15"/>
    <n v="2267.6799999999998"/>
    <s v="Credit Card"/>
    <s v="Punjab"/>
    <x v="15"/>
    <x v="2"/>
    <s v="Returning"/>
  </r>
  <r>
    <s v="ORD100794"/>
    <x v="39"/>
    <s v="Riya Agarwal"/>
    <x v="0"/>
    <s v="Water Bottle"/>
    <x v="35"/>
    <n v="3"/>
    <n v="1920"/>
    <n v="0.2"/>
    <n v="329.03"/>
    <s v="Cash on Delivery"/>
    <s v="Rajasthan"/>
    <x v="7"/>
    <x v="0"/>
    <s v="New"/>
  </r>
  <r>
    <s v="ORD100795"/>
    <x v="176"/>
    <s v="Arjun Sharma"/>
    <x v="5"/>
    <s v="Office Chair"/>
    <x v="32"/>
    <n v="2"/>
    <n v="12150"/>
    <n v="0.19"/>
    <n v="1761.64"/>
    <s v="Debit Card"/>
    <s v="Odisha"/>
    <x v="17"/>
    <x v="3"/>
    <s v="Returning"/>
  </r>
  <r>
    <s v="ORD100796"/>
    <x v="59"/>
    <s v="Karan Verma"/>
    <x v="4"/>
    <s v="Cricket Bat"/>
    <x v="16"/>
    <n v="2"/>
    <n v="5530"/>
    <n v="0.21"/>
    <n v="917.63"/>
    <s v="Cash on Delivery"/>
    <s v="Maharashtra"/>
    <x v="4"/>
    <x v="0"/>
    <s v="New"/>
  </r>
  <r>
    <s v="ORD100797"/>
    <x v="314"/>
    <s v="Pooja Kumawat"/>
    <x v="5"/>
    <s v="Dining Table"/>
    <x v="23"/>
    <n v="3"/>
    <n v="56760"/>
    <n v="0.14000000000000001"/>
    <n v="5954.89"/>
    <s v="UPI"/>
    <s v="Madhya Pradesh"/>
    <x v="0"/>
    <x v="0"/>
    <s v="Returning"/>
  </r>
  <r>
    <s v="ORD100798"/>
    <x v="163"/>
    <s v="Pooja Kumawat"/>
    <x v="1"/>
    <s v="Smartphone"/>
    <x v="22"/>
    <n v="5"/>
    <n v="113750"/>
    <n v="0.09"/>
    <n v="14381.23"/>
    <s v="UPI"/>
    <s v="Haryana"/>
    <x v="8"/>
    <x v="2"/>
    <s v="Returning"/>
  </r>
  <r>
    <s v="ORD100799"/>
    <x v="289"/>
    <s v="Kavya Verma"/>
    <x v="4"/>
    <s v="Badminton Racket"/>
    <x v="9"/>
    <n v="1"/>
    <n v="1548"/>
    <n v="0.14000000000000001"/>
    <n v="247.12"/>
    <s v="Wallet"/>
    <s v="Bihar"/>
    <x v="5"/>
    <x v="3"/>
    <s v="New"/>
  </r>
  <r>
    <s v="ORD100800"/>
    <x v="209"/>
    <s v="Sneha Kumar"/>
    <x v="4"/>
    <s v="Badminton Racket"/>
    <x v="9"/>
    <n v="3"/>
    <n v="4536"/>
    <n v="0.16"/>
    <n v="578.53"/>
    <s v="Wallet"/>
    <s v="Goa"/>
    <x v="13"/>
    <x v="0"/>
    <s v="New"/>
  </r>
  <r>
    <s v="ORD100801"/>
    <x v="306"/>
    <s v="Isha Sharma"/>
    <x v="4"/>
    <s v="Yoga Mat"/>
    <x v="17"/>
    <n v="1"/>
    <n v="738"/>
    <n v="0.18"/>
    <n v="125.75"/>
    <s v="Wallet"/>
    <s v="Odisha"/>
    <x v="17"/>
    <x v="3"/>
    <s v="New"/>
  </r>
  <r>
    <s v="ORD100802"/>
    <x v="243"/>
    <s v="Pooja Yadav"/>
    <x v="5"/>
    <s v="Bookshelf"/>
    <x v="10"/>
    <n v="4"/>
    <n v="17200"/>
    <n v="0.14000000000000001"/>
    <n v="1737.98"/>
    <s v="Credit Card"/>
    <s v="Madhya Pradesh"/>
    <x v="0"/>
    <x v="0"/>
    <s v="Returning"/>
  </r>
  <r>
    <s v="ORD100803"/>
    <x v="118"/>
    <s v="Aarav Jain"/>
    <x v="5"/>
    <s v="Office Chair"/>
    <x v="32"/>
    <n v="1"/>
    <n v="5850"/>
    <n v="0.22"/>
    <n v="749.31"/>
    <s v="Wallet"/>
    <s v="Punjab"/>
    <x v="15"/>
    <x v="2"/>
    <s v="Returning"/>
  </r>
  <r>
    <s v="ORD100804"/>
    <x v="67"/>
    <s v="Nisha Sharma"/>
    <x v="1"/>
    <s v="Tablet"/>
    <x v="1"/>
    <n v="2"/>
    <n v="33840"/>
    <n v="0.06"/>
    <n v="1807.29"/>
    <s v="UPI"/>
    <s v="Uttar Pradesh"/>
    <x v="16"/>
    <x v="2"/>
    <s v="New"/>
  </r>
  <r>
    <s v="ORD100805"/>
    <x v="82"/>
    <s v="Neha Sharma"/>
    <x v="1"/>
    <s v="Keyboard"/>
    <x v="6"/>
    <n v="1"/>
    <n v="1584"/>
    <n v="0.12"/>
    <n v="146.41"/>
    <s v="Net Banking"/>
    <s v="Rajasthan"/>
    <x v="7"/>
    <x v="0"/>
    <s v="Returning"/>
  </r>
  <r>
    <s v="ORD100806"/>
    <x v="279"/>
    <s v="Nisha Gupta"/>
    <x v="5"/>
    <s v="Office Chair"/>
    <x v="32"/>
    <n v="5"/>
    <n v="30375"/>
    <n v="0.19"/>
    <n v="3084.51"/>
    <s v="UPI"/>
    <s v="Karnataka"/>
    <x v="2"/>
    <x v="1"/>
    <s v="Returning"/>
  </r>
  <r>
    <s v="ORD100807"/>
    <x v="209"/>
    <s v="Simran Verma"/>
    <x v="6"/>
    <s v="Novel"/>
    <x v="14"/>
    <n v="1"/>
    <n v="365"/>
    <n v="0.27"/>
    <n v="69.099999999999994"/>
    <s v="Net Banking"/>
    <s v="Bihar"/>
    <x v="5"/>
    <x v="3"/>
    <s v="New"/>
  </r>
  <r>
    <s v="ORD100808"/>
    <x v="1"/>
    <s v="Priya Verma"/>
    <x v="6"/>
    <s v="Novel"/>
    <x v="14"/>
    <n v="1"/>
    <n v="400"/>
    <n v="0.2"/>
    <n v="89.52"/>
    <s v="Wallet"/>
    <s v="Goa"/>
    <x v="13"/>
    <x v="0"/>
    <s v="New"/>
  </r>
  <r>
    <s v="ORD100809"/>
    <x v="36"/>
    <s v="Pooja Kumar"/>
    <x v="6"/>
    <s v="Data Analytics Book"/>
    <x v="12"/>
    <n v="2"/>
    <n v="1920"/>
    <n v="0.2"/>
    <n v="290.5"/>
    <s v="UPI"/>
    <s v="Uttar Pradesh"/>
    <x v="6"/>
    <x v="2"/>
    <s v="Returning"/>
  </r>
  <r>
    <s v="ORD100810"/>
    <x v="273"/>
    <s v="Aditya Verma"/>
    <x v="5"/>
    <s v="Bed"/>
    <x v="27"/>
    <n v="1"/>
    <n v="24600"/>
    <n v="0.18"/>
    <n v="1540.72"/>
    <s v="Net Banking"/>
    <s v="Maharashtra"/>
    <x v="12"/>
    <x v="0"/>
    <s v="New"/>
  </r>
  <r>
    <s v="ORD100811"/>
    <x v="321"/>
    <s v="Aditya Singh"/>
    <x v="5"/>
    <s v="Office Chair"/>
    <x v="32"/>
    <n v="2"/>
    <n v="11850"/>
    <n v="0.21"/>
    <n v="1512.8"/>
    <s v="Wallet"/>
    <s v="Rajasthan"/>
    <x v="9"/>
    <x v="0"/>
    <s v="New"/>
  </r>
  <r>
    <s v="ORD100812"/>
    <x v="26"/>
    <s v="Kavya Kumawat"/>
    <x v="0"/>
    <s v="Air Fryer"/>
    <x v="15"/>
    <n v="3"/>
    <n v="18525"/>
    <n v="0.05"/>
    <n v="1939.6"/>
    <s v="Credit Card"/>
    <s v="Punjab"/>
    <x v="15"/>
    <x v="2"/>
    <s v="Returning"/>
  </r>
  <r>
    <s v="ORD100813"/>
    <x v="277"/>
    <s v="Sahil Singh"/>
    <x v="1"/>
    <s v="Mouse"/>
    <x v="36"/>
    <n v="3"/>
    <n v="2349"/>
    <n v="0.13"/>
    <n v="363.71"/>
    <s v="Net Banking"/>
    <s v="Uttar Pradesh"/>
    <x v="16"/>
    <x v="2"/>
    <s v="New"/>
  </r>
  <r>
    <s v="ORD100814"/>
    <x v="229"/>
    <s v="Arjun Sharma"/>
    <x v="0"/>
    <s v="Coffee Maker"/>
    <x v="4"/>
    <n v="3"/>
    <n v="12450"/>
    <n v="0.17"/>
    <n v="1517.67"/>
    <s v="Net Banking"/>
    <s v="Tamil Nadu"/>
    <x v="19"/>
    <x v="1"/>
    <s v="Returning"/>
  </r>
  <r>
    <s v="ORD100815"/>
    <x v="1"/>
    <s v="Vivaan Singh"/>
    <x v="2"/>
    <s v="Sneakers"/>
    <x v="29"/>
    <n v="2"/>
    <n v="5100"/>
    <n v="0.15"/>
    <n v="783.62"/>
    <s v="Cash on Delivery"/>
    <s v="Haryana"/>
    <x v="8"/>
    <x v="2"/>
    <s v="Returning"/>
  </r>
  <r>
    <s v="ORD100816"/>
    <x v="322"/>
    <s v="Aarav Sharma"/>
    <x v="5"/>
    <s v="Study Table"/>
    <x v="28"/>
    <n v="2"/>
    <n v="10790"/>
    <n v="0.17"/>
    <n v="1220.17"/>
    <s v="Cash on Delivery"/>
    <s v="Punjab"/>
    <x v="15"/>
    <x v="2"/>
    <s v="Returning"/>
  </r>
  <r>
    <s v="ORD100817"/>
    <x v="323"/>
    <s v="Ananya Yadav"/>
    <x v="0"/>
    <s v="Bedsheet"/>
    <x v="21"/>
    <n v="3"/>
    <n v="2988"/>
    <n v="0.17"/>
    <n v="580.44000000000005"/>
    <s v="Debit Card"/>
    <s v="Maharashtra"/>
    <x v="12"/>
    <x v="0"/>
    <s v="Returning"/>
  </r>
  <r>
    <s v="ORD100818"/>
    <x v="188"/>
    <s v="Neha Gupta"/>
    <x v="6"/>
    <s v="Data Analytics Book"/>
    <x v="12"/>
    <n v="3"/>
    <n v="3096"/>
    <n v="0.14000000000000001"/>
    <n v="494.92"/>
    <s v="Credit Card"/>
    <s v="Delhi"/>
    <x v="3"/>
    <x v="2"/>
    <s v="Returning"/>
  </r>
  <r>
    <s v="ORD100819"/>
    <x v="150"/>
    <s v="Pooja Jain"/>
    <x v="2"/>
    <s v="Women Kurti"/>
    <x v="26"/>
    <n v="3"/>
    <n v="3486"/>
    <n v="0.17"/>
    <n v="676.09"/>
    <s v="Wallet"/>
    <s v="Rajasthan"/>
    <x v="10"/>
    <x v="0"/>
    <s v="New"/>
  </r>
  <r>
    <s v="ORD100820"/>
    <x v="263"/>
    <s v="Riya Kumar"/>
    <x v="3"/>
    <s v="Face Wash"/>
    <x v="3"/>
    <n v="3"/>
    <n v="1120.5"/>
    <n v="0.17"/>
    <n v="215.04"/>
    <s v="Debit Card"/>
    <s v="Uttar Pradesh"/>
    <x v="16"/>
    <x v="2"/>
    <s v="New"/>
  </r>
  <r>
    <s v="ORD100821"/>
    <x v="155"/>
    <s v="Pooja Agarwal"/>
    <x v="1"/>
    <s v="Keyboard"/>
    <x v="6"/>
    <n v="4"/>
    <n v="5976"/>
    <n v="0.17"/>
    <n v="706.65"/>
    <s v="Credit Card"/>
    <s v="Goa"/>
    <x v="13"/>
    <x v="0"/>
    <s v="New"/>
  </r>
  <r>
    <s v="ORD100822"/>
    <x v="241"/>
    <s v="Aditya Jain"/>
    <x v="1"/>
    <s v="Bluetooth Speaker"/>
    <x v="11"/>
    <n v="2"/>
    <n v="5670"/>
    <n v="0.19"/>
    <n v="762.88"/>
    <s v="Cash on Delivery"/>
    <s v="Rajasthan"/>
    <x v="10"/>
    <x v="0"/>
    <s v="Returning"/>
  </r>
  <r>
    <s v="ORD100823"/>
    <x v="143"/>
    <s v="Vivaan Singh"/>
    <x v="0"/>
    <s v="Mixer Grinder"/>
    <x v="0"/>
    <n v="2"/>
    <n v="7470"/>
    <n v="0.17"/>
    <n v="645.6"/>
    <s v="Wallet"/>
    <s v="Rajasthan"/>
    <x v="9"/>
    <x v="0"/>
    <s v="Returning"/>
  </r>
  <r>
    <s v="ORD100824"/>
    <x v="302"/>
    <s v="Riya Yadav"/>
    <x v="4"/>
    <s v="Badminton Racket"/>
    <x v="9"/>
    <n v="2"/>
    <n v="3024"/>
    <n v="0.16"/>
    <n v="538.89"/>
    <s v="Debit Card"/>
    <s v="Bihar"/>
    <x v="5"/>
    <x v="3"/>
    <s v="Returning"/>
  </r>
  <r>
    <s v="ORD100825"/>
    <x v="256"/>
    <s v="Simran Singh"/>
    <x v="3"/>
    <s v="Shampoo"/>
    <x v="33"/>
    <n v="5"/>
    <n v="2665"/>
    <n v="0.18"/>
    <n v="391.59"/>
    <s v="Credit Card"/>
    <s v="Odisha"/>
    <x v="17"/>
    <x v="3"/>
    <s v="Returning"/>
  </r>
  <r>
    <s v="ORD100826"/>
    <x v="100"/>
    <s v="Arjun Kumawat"/>
    <x v="1"/>
    <s v="Headphones"/>
    <x v="30"/>
    <n v="2"/>
    <n v="4550"/>
    <n v="0.09"/>
    <n v="788.73"/>
    <s v="Wallet"/>
    <s v="Telangana"/>
    <x v="11"/>
    <x v="1"/>
    <s v="Returning"/>
  </r>
  <r>
    <s v="ORD100827"/>
    <x v="272"/>
    <s v="Karan Singh"/>
    <x v="2"/>
    <s v="Jacket"/>
    <x v="2"/>
    <n v="1"/>
    <n v="2380"/>
    <n v="0.15"/>
    <n v="405.8"/>
    <s v="Debit Card"/>
    <s v="Delhi"/>
    <x v="3"/>
    <x v="2"/>
    <s v="Returning"/>
  </r>
  <r>
    <s v="ORD100828"/>
    <x v="306"/>
    <s v="Vikas Gupta"/>
    <x v="0"/>
    <s v="Mixer Grinder"/>
    <x v="0"/>
    <n v="3"/>
    <n v="11205"/>
    <n v="0.17"/>
    <n v="1202.6300000000001"/>
    <s v="Credit Card"/>
    <s v="Tamil Nadu"/>
    <x v="19"/>
    <x v="1"/>
    <s v="Returning"/>
  </r>
  <r>
    <s v="ORD100829"/>
    <x v="165"/>
    <s v="Rohit Sharma"/>
    <x v="0"/>
    <s v="Water Bottle"/>
    <x v="35"/>
    <n v="2"/>
    <n v="1312"/>
    <n v="0.18"/>
    <n v="187.16"/>
    <s v="Credit Card"/>
    <s v="Goa"/>
    <x v="13"/>
    <x v="0"/>
    <s v="Returning"/>
  </r>
  <r>
    <s v="ORD100830"/>
    <x v="66"/>
    <s v="Kavya Jain"/>
    <x v="6"/>
    <s v="Novel"/>
    <x v="14"/>
    <n v="2"/>
    <n v="750"/>
    <n v="0.25"/>
    <n v="152.62"/>
    <s v="UPI"/>
    <s v="Tamil Nadu"/>
    <x v="19"/>
    <x v="1"/>
    <s v="Returning"/>
  </r>
  <r>
    <s v="ORD100831"/>
    <x v="43"/>
    <s v="Neha Kumawat"/>
    <x v="3"/>
    <s v="Perfume"/>
    <x v="18"/>
    <n v="3"/>
    <n v="4482"/>
    <n v="0.17"/>
    <n v="978.17"/>
    <s v="Wallet"/>
    <s v="Telangana"/>
    <x v="11"/>
    <x v="1"/>
    <s v="Returning"/>
  </r>
  <r>
    <s v="ORD100832"/>
    <x v="0"/>
    <s v="Neha Sharma"/>
    <x v="5"/>
    <s v="Study Table"/>
    <x v="28"/>
    <n v="4"/>
    <n v="22100"/>
    <n v="0.15"/>
    <n v="3119.3"/>
    <s v="Wallet"/>
    <s v="Rajasthan"/>
    <x v="7"/>
    <x v="0"/>
    <s v="Returning"/>
  </r>
  <r>
    <s v="ORD100833"/>
    <x v="299"/>
    <s v="Sneha Kumar"/>
    <x v="5"/>
    <s v="Bed"/>
    <x v="27"/>
    <n v="3"/>
    <n v="67500"/>
    <n v="0.25"/>
    <n v="7468.92"/>
    <s v="Wallet"/>
    <s v="Maharashtra"/>
    <x v="12"/>
    <x v="0"/>
    <s v="New"/>
  </r>
  <r>
    <s v="ORD100834"/>
    <x v="158"/>
    <s v="Aman Kumawat"/>
    <x v="1"/>
    <s v="Headphones"/>
    <x v="30"/>
    <n v="4"/>
    <n v="8600"/>
    <n v="0.14000000000000001"/>
    <n v="1286.6199999999999"/>
    <s v="Credit Card"/>
    <s v="Uttar Pradesh"/>
    <x v="6"/>
    <x v="2"/>
    <s v="New"/>
  </r>
  <r>
    <s v="ORD100835"/>
    <x v="274"/>
    <s v="Isha Verma"/>
    <x v="3"/>
    <s v="Face Wash"/>
    <x v="3"/>
    <n v="2"/>
    <n v="774"/>
    <n v="0.14000000000000001"/>
    <n v="132.16"/>
    <s v="UPI"/>
    <s v="Gujarat"/>
    <x v="1"/>
    <x v="0"/>
    <s v="Returning"/>
  </r>
  <r>
    <s v="ORD100836"/>
    <x v="21"/>
    <s v="Rahul Kumar"/>
    <x v="1"/>
    <s v="Smart Watch"/>
    <x v="7"/>
    <n v="5"/>
    <n v="21750"/>
    <n v="0.13"/>
    <n v="3008.79"/>
    <s v="Credit Card"/>
    <s v="Delhi"/>
    <x v="3"/>
    <x v="2"/>
    <s v="Returning"/>
  </r>
  <r>
    <s v="ORD100837"/>
    <x v="181"/>
    <s v="Riya Sharma"/>
    <x v="5"/>
    <s v="Dining Table"/>
    <x v="23"/>
    <n v="1"/>
    <n v="18040"/>
    <n v="0.18"/>
    <n v="2451.1799999999998"/>
    <s v="Wallet"/>
    <s v="Haryana"/>
    <x v="8"/>
    <x v="2"/>
    <s v="New"/>
  </r>
  <r>
    <s v="ORD100838"/>
    <x v="274"/>
    <s v="Isha Jain"/>
    <x v="1"/>
    <s v="Laptop"/>
    <x v="25"/>
    <n v="2"/>
    <n v="99000"/>
    <n v="0.1"/>
    <n v="13220.37"/>
    <s v="UPI"/>
    <s v="Rajasthan"/>
    <x v="10"/>
    <x v="0"/>
    <s v="New"/>
  </r>
  <r>
    <s v="ORD100839"/>
    <x v="279"/>
    <s v="Sahil Kumawat"/>
    <x v="0"/>
    <s v="Water Bottle"/>
    <x v="35"/>
    <n v="1"/>
    <n v="664"/>
    <n v="0.17"/>
    <n v="125.15"/>
    <s v="Cash on Delivery"/>
    <s v="Odisha"/>
    <x v="17"/>
    <x v="3"/>
    <s v="Returning"/>
  </r>
  <r>
    <s v="ORD100840"/>
    <x v="192"/>
    <s v="Isha Sharma"/>
    <x v="0"/>
    <s v="Bedsheet"/>
    <x v="21"/>
    <n v="1"/>
    <n v="1008"/>
    <n v="0.16"/>
    <n v="192.86"/>
    <s v="UPI"/>
    <s v="Maharashtra"/>
    <x v="4"/>
    <x v="0"/>
    <s v="Returning"/>
  </r>
  <r>
    <s v="ORD100841"/>
    <x v="243"/>
    <s v="Rahul Kumawat"/>
    <x v="4"/>
    <s v="Yoga Mat"/>
    <x v="17"/>
    <n v="3"/>
    <n v="2160"/>
    <n v="0.2"/>
    <n v="407.46"/>
    <s v="UPI"/>
    <s v="Rajasthan"/>
    <x v="9"/>
    <x v="0"/>
    <s v="New"/>
  </r>
  <r>
    <s v="ORD100842"/>
    <x v="75"/>
    <s v="Priya Sharma"/>
    <x v="3"/>
    <s v="Perfume"/>
    <x v="18"/>
    <n v="1"/>
    <n v="1548"/>
    <n v="0.14000000000000001"/>
    <n v="270.26"/>
    <s v="Wallet"/>
    <s v="West Bengal"/>
    <x v="18"/>
    <x v="3"/>
    <s v="New"/>
  </r>
  <r>
    <s v="ORD100843"/>
    <x v="216"/>
    <s v="Pooja Singh"/>
    <x v="2"/>
    <s v="Men T-Shirt"/>
    <x v="24"/>
    <n v="5"/>
    <n v="3510"/>
    <n v="0.22"/>
    <n v="600.37"/>
    <s v="Net Banking"/>
    <s v="Telangana"/>
    <x v="11"/>
    <x v="1"/>
    <s v="New"/>
  </r>
  <r>
    <s v="ORD100844"/>
    <x v="34"/>
    <s v="Aditya Agarwal"/>
    <x v="3"/>
    <s v="Shampoo"/>
    <x v="33"/>
    <n v="2"/>
    <n v="1053"/>
    <n v="0.19"/>
    <n v="165.03"/>
    <s v="Net Banking"/>
    <s v="Telangana"/>
    <x v="11"/>
    <x v="1"/>
    <s v="Returning"/>
  </r>
  <r>
    <s v="ORD100845"/>
    <x v="31"/>
    <s v="Aarav Verma"/>
    <x v="0"/>
    <s v="Coffee Maker"/>
    <x v="4"/>
    <n v="3"/>
    <n v="13050"/>
    <n v="0.13"/>
    <n v="1064.17"/>
    <s v="Debit Card"/>
    <s v="Bihar"/>
    <x v="5"/>
    <x v="3"/>
    <s v="Returning"/>
  </r>
  <r>
    <s v="ORD100846"/>
    <x v="124"/>
    <s v="Kavya Kumar"/>
    <x v="1"/>
    <s v="Mouse"/>
    <x v="36"/>
    <n v="5"/>
    <n v="4005"/>
    <n v="0.11"/>
    <n v="511.37"/>
    <s v="Wallet"/>
    <s v="Rajasthan"/>
    <x v="7"/>
    <x v="0"/>
    <s v="Returning"/>
  </r>
  <r>
    <s v="ORD100847"/>
    <x v="63"/>
    <s v="Pooja Singh"/>
    <x v="5"/>
    <s v="Office Chair"/>
    <x v="32"/>
    <n v="1"/>
    <n v="6450"/>
    <n v="0.14000000000000001"/>
    <n v="795.73"/>
    <s v="Net Banking"/>
    <s v="Kerala"/>
    <x v="14"/>
    <x v="1"/>
    <s v="Returning"/>
  </r>
  <r>
    <s v="ORD100848"/>
    <x v="324"/>
    <s v="Riya Kumar"/>
    <x v="4"/>
    <s v="Football"/>
    <x v="34"/>
    <n v="1"/>
    <n v="924"/>
    <n v="0.23"/>
    <n v="127.31"/>
    <s v="Wallet"/>
    <s v="Karnataka"/>
    <x v="2"/>
    <x v="1"/>
    <s v="Returning"/>
  </r>
  <r>
    <s v="ORD100849"/>
    <x v="117"/>
    <s v="Neha Singh"/>
    <x v="3"/>
    <s v="Face Wash"/>
    <x v="3"/>
    <n v="2"/>
    <n v="756"/>
    <n v="0.16"/>
    <n v="156.29"/>
    <s v="Cash on Delivery"/>
    <s v="Telangana"/>
    <x v="11"/>
    <x v="1"/>
    <s v="Returning"/>
  </r>
  <r>
    <s v="ORD100850"/>
    <x v="271"/>
    <s v="Neha Verma"/>
    <x v="6"/>
    <s v="Novel"/>
    <x v="14"/>
    <n v="1"/>
    <n v="405"/>
    <n v="0.19"/>
    <n v="99.89"/>
    <s v="Cash on Delivery"/>
    <s v="Bihar"/>
    <x v="5"/>
    <x v="3"/>
    <s v="New"/>
  </r>
  <r>
    <s v="ORD100851"/>
    <x v="325"/>
    <s v="Simran Gupta"/>
    <x v="0"/>
    <s v="Cookware Set"/>
    <x v="5"/>
    <n v="2"/>
    <n v="6090"/>
    <n v="0.13"/>
    <n v="820.72"/>
    <s v="Net Banking"/>
    <s v="Uttar Pradesh"/>
    <x v="16"/>
    <x v="2"/>
    <s v="Returning"/>
  </r>
  <r>
    <s v="ORD100852"/>
    <x v="216"/>
    <s v="Nisha Singh"/>
    <x v="1"/>
    <s v="Headphones"/>
    <x v="30"/>
    <n v="1"/>
    <n v="2100"/>
    <n v="0.16"/>
    <n v="327.91"/>
    <s v="Debit Card"/>
    <s v="Rajasthan"/>
    <x v="10"/>
    <x v="0"/>
    <s v="Returning"/>
  </r>
  <r>
    <s v="ORD100853"/>
    <x v="279"/>
    <s v="Priya Sharma"/>
    <x v="1"/>
    <s v="Tablet"/>
    <x v="1"/>
    <n v="2"/>
    <n v="32760"/>
    <n v="0.09"/>
    <n v="4832.4399999999996"/>
    <s v="Debit Card"/>
    <s v="Kerala"/>
    <x v="14"/>
    <x v="1"/>
    <s v="New"/>
  </r>
  <r>
    <s v="ORD100854"/>
    <x v="326"/>
    <s v="Kavya Singh"/>
    <x v="2"/>
    <s v="Jeans"/>
    <x v="8"/>
    <n v="2"/>
    <n v="3060"/>
    <n v="0.15"/>
    <n v="575.38"/>
    <s v="Credit Card"/>
    <s v="Haryana"/>
    <x v="8"/>
    <x v="2"/>
    <s v="New"/>
  </r>
  <r>
    <s v="ORD100855"/>
    <x v="122"/>
    <s v="Rohit Jain"/>
    <x v="3"/>
    <s v="Skin Care Kit"/>
    <x v="20"/>
    <n v="3"/>
    <n v="5940"/>
    <n v="0.1"/>
    <n v="1198.73"/>
    <s v="Wallet"/>
    <s v="Madhya Pradesh"/>
    <x v="0"/>
    <x v="0"/>
    <s v="New"/>
  </r>
  <r>
    <s v="ORD100856"/>
    <x v="176"/>
    <s v="Ananya Sharma"/>
    <x v="0"/>
    <s v="Air Fryer"/>
    <x v="15"/>
    <n v="1"/>
    <n v="5460"/>
    <n v="0.16"/>
    <n v="603.22"/>
    <s v="Wallet"/>
    <s v="Madhya Pradesh"/>
    <x v="0"/>
    <x v="0"/>
    <s v="New"/>
  </r>
  <r>
    <s v="ORD100857"/>
    <x v="104"/>
    <s v="Aarav Gupta"/>
    <x v="4"/>
    <s v="Football"/>
    <x v="34"/>
    <n v="4"/>
    <n v="3648"/>
    <n v="0.24"/>
    <n v="647.89"/>
    <s v="Credit Card"/>
    <s v="Goa"/>
    <x v="13"/>
    <x v="0"/>
    <s v="Returning"/>
  </r>
  <r>
    <s v="ORD100858"/>
    <x v="327"/>
    <s v="Vikas Singh"/>
    <x v="6"/>
    <s v="Programming Book"/>
    <x v="13"/>
    <n v="1"/>
    <n v="729"/>
    <n v="0.19"/>
    <n v="78.38"/>
    <s v="UPI"/>
    <s v="Bihar"/>
    <x v="5"/>
    <x v="3"/>
    <s v="Returning"/>
  </r>
  <r>
    <s v="ORD100859"/>
    <x v="44"/>
    <s v="Aarav Jain"/>
    <x v="1"/>
    <s v="Tablet"/>
    <x v="1"/>
    <n v="3"/>
    <n v="49140"/>
    <n v="0.09"/>
    <n v="4307.72"/>
    <s v="Net Banking"/>
    <s v="Kerala"/>
    <x v="14"/>
    <x v="1"/>
    <s v="New"/>
  </r>
  <r>
    <s v="ORD100860"/>
    <x v="149"/>
    <s v="Rahul Sharma"/>
    <x v="1"/>
    <s v="Mouse"/>
    <x v="36"/>
    <n v="2"/>
    <n v="1494"/>
    <n v="0.17"/>
    <n v="224.34"/>
    <s v="Wallet"/>
    <s v="Maharashtra"/>
    <x v="12"/>
    <x v="0"/>
    <s v="Returning"/>
  </r>
  <r>
    <s v="ORD100861"/>
    <x v="116"/>
    <s v="Aarav Verma"/>
    <x v="3"/>
    <s v="Face Wash"/>
    <x v="3"/>
    <n v="1"/>
    <n v="355.5"/>
    <n v="0.21"/>
    <n v="56.02"/>
    <s v="Credit Card"/>
    <s v="Goa"/>
    <x v="13"/>
    <x v="0"/>
    <s v="Returning"/>
  </r>
  <r>
    <s v="ORD100862"/>
    <x v="293"/>
    <s v="Aarav Kumawat"/>
    <x v="1"/>
    <s v="Tablet"/>
    <x v="1"/>
    <n v="1"/>
    <n v="15660"/>
    <n v="0.13"/>
    <n v="2220.42"/>
    <s v="Credit Card"/>
    <s v="Karnataka"/>
    <x v="2"/>
    <x v="1"/>
    <s v="Returning"/>
  </r>
  <r>
    <s v="ORD100863"/>
    <x v="113"/>
    <s v="Aditya Kumar"/>
    <x v="2"/>
    <s v="Sneakers"/>
    <x v="29"/>
    <n v="4"/>
    <n v="10560"/>
    <n v="0.12"/>
    <n v="1893.25"/>
    <s v="UPI"/>
    <s v="Madhya Pradesh"/>
    <x v="0"/>
    <x v="0"/>
    <s v="New"/>
  </r>
  <r>
    <s v="ORD100864"/>
    <x v="283"/>
    <s v="Aarav Gupta"/>
    <x v="0"/>
    <s v="Bedsheet"/>
    <x v="21"/>
    <n v="3"/>
    <n v="3168"/>
    <n v="0.12"/>
    <n v="420.18"/>
    <s v="Credit Card"/>
    <s v="Rajasthan"/>
    <x v="10"/>
    <x v="0"/>
    <s v="New"/>
  </r>
  <r>
    <s v="ORD100865"/>
    <x v="160"/>
    <s v="Ananya Verma"/>
    <x v="3"/>
    <s v="Skin Care Kit"/>
    <x v="20"/>
    <n v="2"/>
    <n v="4004"/>
    <n v="0.09"/>
    <n v="615.9"/>
    <s v="Wallet"/>
    <s v="Maharashtra"/>
    <x v="4"/>
    <x v="0"/>
    <s v="Returning"/>
  </r>
  <r>
    <s v="ORD100866"/>
    <x v="306"/>
    <s v="Aditya Yadav"/>
    <x v="0"/>
    <s v="Cookware Set"/>
    <x v="5"/>
    <n v="5"/>
    <n v="14000"/>
    <n v="0.2"/>
    <n v="2100.67"/>
    <s v="Net Banking"/>
    <s v="Telangana"/>
    <x v="11"/>
    <x v="1"/>
    <s v="Returning"/>
  </r>
  <r>
    <s v="ORD100867"/>
    <x v="43"/>
    <s v="Aarav Verma"/>
    <x v="3"/>
    <s v="Face Wash"/>
    <x v="3"/>
    <n v="3"/>
    <n v="1080"/>
    <n v="0.2"/>
    <n v="186.73"/>
    <s v="UPI"/>
    <s v="Delhi"/>
    <x v="3"/>
    <x v="2"/>
    <s v="Returning"/>
  </r>
  <r>
    <s v="ORD100868"/>
    <x v="125"/>
    <s v="Priya Jain"/>
    <x v="4"/>
    <s v="Badminton Racket"/>
    <x v="9"/>
    <n v="4"/>
    <n v="5904"/>
    <n v="0.18"/>
    <n v="567.71"/>
    <s v="UPI"/>
    <s v="Odisha"/>
    <x v="17"/>
    <x v="3"/>
    <s v="Returning"/>
  </r>
  <r>
    <s v="ORD100869"/>
    <x v="47"/>
    <s v="Kavya Verma"/>
    <x v="0"/>
    <s v="Air Fryer"/>
    <x v="15"/>
    <n v="2"/>
    <n v="11830"/>
    <n v="0.09"/>
    <n v="1829.6"/>
    <s v="UPI"/>
    <s v="Haryana"/>
    <x v="8"/>
    <x v="2"/>
    <s v="New"/>
  </r>
  <r>
    <s v="ORD100870"/>
    <x v="175"/>
    <s v="Isha Agarwal"/>
    <x v="1"/>
    <s v="Mouse"/>
    <x v="36"/>
    <n v="1"/>
    <n v="756"/>
    <n v="0.16"/>
    <n v="135.47999999999999"/>
    <s v="Wallet"/>
    <s v="West Bengal"/>
    <x v="18"/>
    <x v="3"/>
    <s v="New"/>
  </r>
  <r>
    <s v="ORD100871"/>
    <x v="106"/>
    <s v="Rahul Kumar"/>
    <x v="0"/>
    <s v="Cookware Set"/>
    <x v="5"/>
    <n v="1"/>
    <n v="2835"/>
    <n v="0.19"/>
    <n v="338.56"/>
    <s v="Credit Card"/>
    <s v="Kerala"/>
    <x v="14"/>
    <x v="1"/>
    <s v="Returning"/>
  </r>
  <r>
    <s v="ORD100872"/>
    <x v="297"/>
    <s v="Aarav Kumar"/>
    <x v="0"/>
    <s v="Air Fryer"/>
    <x v="15"/>
    <n v="2"/>
    <n v="11310"/>
    <n v="0.13"/>
    <n v="1712.28"/>
    <s v="UPI"/>
    <s v="Karnataka"/>
    <x v="2"/>
    <x v="1"/>
    <s v="New"/>
  </r>
  <r>
    <s v="ORD100873"/>
    <x v="262"/>
    <s v="Kavya Verma"/>
    <x v="0"/>
    <s v="Air Fryer"/>
    <x v="15"/>
    <n v="1"/>
    <n v="5590"/>
    <n v="0.14000000000000001"/>
    <n v="529.80999999999995"/>
    <s v="UPI"/>
    <s v="West Bengal"/>
    <x v="18"/>
    <x v="3"/>
    <s v="New"/>
  </r>
  <r>
    <s v="ORD100874"/>
    <x v="62"/>
    <s v="Aditya Sharma"/>
    <x v="5"/>
    <s v="Office Chair"/>
    <x v="32"/>
    <n v="4"/>
    <n v="25500"/>
    <n v="0.15"/>
    <n v="3171.96"/>
    <s v="Net Banking"/>
    <s v="Maharashtra"/>
    <x v="4"/>
    <x v="0"/>
    <s v="New"/>
  </r>
  <r>
    <s v="ORD100875"/>
    <x v="249"/>
    <s v="Vivaan Singh"/>
    <x v="5"/>
    <s v="Bed"/>
    <x v="27"/>
    <n v="1"/>
    <n v="24300"/>
    <n v="0.19"/>
    <n v="2009.92"/>
    <s v="Net Banking"/>
    <s v="Bihar"/>
    <x v="5"/>
    <x v="3"/>
    <s v="New"/>
  </r>
  <r>
    <s v="ORD100876"/>
    <x v="71"/>
    <s v="Sahil Agarwal"/>
    <x v="0"/>
    <s v="Air Fryer"/>
    <x v="15"/>
    <n v="4"/>
    <n v="24440"/>
    <n v="0.06"/>
    <n v="2673.23"/>
    <s v="Wallet"/>
    <s v="Telangana"/>
    <x v="11"/>
    <x v="1"/>
    <s v="Returning"/>
  </r>
  <r>
    <s v="ORD100877"/>
    <x v="166"/>
    <s v="Isha Agarwal"/>
    <x v="4"/>
    <s v="Badminton Racket"/>
    <x v="9"/>
    <n v="3"/>
    <n v="4266"/>
    <n v="0.21"/>
    <n v="670.85"/>
    <s v="UPI"/>
    <s v="Rajasthan"/>
    <x v="10"/>
    <x v="0"/>
    <s v="Returning"/>
  </r>
  <r>
    <s v="ORD100878"/>
    <x v="27"/>
    <s v="Arjun Gupta"/>
    <x v="1"/>
    <s v="Keyboard"/>
    <x v="6"/>
    <n v="3"/>
    <n v="4266"/>
    <n v="0.21"/>
    <n v="614.99"/>
    <s v="Wallet"/>
    <s v="Telangana"/>
    <x v="11"/>
    <x v="1"/>
    <s v="New"/>
  </r>
  <r>
    <s v="ORD100879"/>
    <x v="7"/>
    <s v="Rohit Agarwal"/>
    <x v="2"/>
    <s v="Men T-Shirt"/>
    <x v="24"/>
    <n v="1"/>
    <n v="711"/>
    <n v="0.21"/>
    <n v="163.09"/>
    <s v="Net Banking"/>
    <s v="Bihar"/>
    <x v="5"/>
    <x v="3"/>
    <s v="Returning"/>
  </r>
  <r>
    <s v="ORD100880"/>
    <x v="193"/>
    <s v="Sneha Jain"/>
    <x v="6"/>
    <s v="Novel"/>
    <x v="14"/>
    <n v="5"/>
    <n v="1900"/>
    <n v="0.24"/>
    <n v="415.44"/>
    <s v="Net Banking"/>
    <s v="Maharashtra"/>
    <x v="12"/>
    <x v="0"/>
    <s v="New"/>
  </r>
  <r>
    <s v="ORD100881"/>
    <x v="77"/>
    <s v="Karan Singh"/>
    <x v="1"/>
    <s v="Keyboard"/>
    <x v="6"/>
    <n v="2"/>
    <n v="3060"/>
    <n v="0.15"/>
    <n v="580.48"/>
    <s v="Credit Card"/>
    <s v="Delhi"/>
    <x v="3"/>
    <x v="2"/>
    <s v="New"/>
  </r>
  <r>
    <s v="ORD100882"/>
    <x v="153"/>
    <s v="Neha Sharma"/>
    <x v="1"/>
    <s v="Laptop"/>
    <x v="25"/>
    <n v="5"/>
    <n v="253000"/>
    <n v="0.08"/>
    <n v="33069.870000000003"/>
    <s v="Cash on Delivery"/>
    <s v="Rajasthan"/>
    <x v="7"/>
    <x v="0"/>
    <s v="New"/>
  </r>
  <r>
    <s v="ORD100883"/>
    <x v="295"/>
    <s v="Sneha Sharma"/>
    <x v="3"/>
    <s v="Face Wash"/>
    <x v="3"/>
    <n v="2"/>
    <n v="693"/>
    <n v="0.23"/>
    <n v="107.29"/>
    <s v="Net Banking"/>
    <s v="Maharashtra"/>
    <x v="12"/>
    <x v="0"/>
    <s v="New"/>
  </r>
  <r>
    <s v="ORD100884"/>
    <x v="242"/>
    <s v="Ananya Jain"/>
    <x v="1"/>
    <s v="Headphones"/>
    <x v="30"/>
    <n v="1"/>
    <n v="2175"/>
    <n v="0.13"/>
    <n v="202.37"/>
    <s v="Wallet"/>
    <s v="Odisha"/>
    <x v="17"/>
    <x v="3"/>
    <s v="Returning"/>
  </r>
  <r>
    <s v="ORD100885"/>
    <x v="321"/>
    <s v="Kavya Gupta"/>
    <x v="3"/>
    <s v="Shampoo"/>
    <x v="33"/>
    <n v="2"/>
    <n v="1066"/>
    <n v="0.18"/>
    <n v="201.8"/>
    <s v="Debit Card"/>
    <s v="Bihar"/>
    <x v="5"/>
    <x v="3"/>
    <s v="Returning"/>
  </r>
  <r>
    <s v="ORD100886"/>
    <x v="239"/>
    <s v="Simran Sharma"/>
    <x v="4"/>
    <s v="Badminton Racket"/>
    <x v="9"/>
    <n v="2"/>
    <n v="2916"/>
    <n v="0.19"/>
    <n v="445.91"/>
    <s v="Debit Card"/>
    <s v="Gujarat"/>
    <x v="1"/>
    <x v="0"/>
    <s v="New"/>
  </r>
  <r>
    <s v="ORD100887"/>
    <x v="261"/>
    <s v="Simran Jain"/>
    <x v="1"/>
    <s v="Headphones"/>
    <x v="30"/>
    <n v="3"/>
    <n v="6750"/>
    <n v="0.1"/>
    <n v="753.15"/>
    <s v="Net Banking"/>
    <s v="Gujarat"/>
    <x v="1"/>
    <x v="0"/>
    <s v="Returning"/>
  </r>
  <r>
    <s v="ORD100888"/>
    <x v="114"/>
    <s v="Simran Jain"/>
    <x v="2"/>
    <s v="Sneakers"/>
    <x v="29"/>
    <n v="2"/>
    <n v="4920"/>
    <n v="0.18"/>
    <n v="746.56"/>
    <s v="Credit Card"/>
    <s v="Madhya Pradesh"/>
    <x v="0"/>
    <x v="0"/>
    <s v="New"/>
  </r>
  <r>
    <s v="ORD100889"/>
    <x v="269"/>
    <s v="Vivaan Agarwal"/>
    <x v="1"/>
    <s v="Smartphone"/>
    <x v="22"/>
    <n v="5"/>
    <n v="113750"/>
    <n v="0.09"/>
    <n v="12663.94"/>
    <s v="Cash on Delivery"/>
    <s v="Haryana"/>
    <x v="8"/>
    <x v="2"/>
    <s v="New"/>
  </r>
  <r>
    <s v="ORD100890"/>
    <x v="266"/>
    <s v="Rohit Sharma"/>
    <x v="2"/>
    <s v="Women Kurti"/>
    <x v="26"/>
    <n v="4"/>
    <n v="4368"/>
    <n v="0.22"/>
    <n v="695.32"/>
    <s v="Net Banking"/>
    <s v="Punjab"/>
    <x v="15"/>
    <x v="2"/>
    <s v="New"/>
  </r>
  <r>
    <s v="ORD100891"/>
    <x v="54"/>
    <s v="Aman Sharma"/>
    <x v="2"/>
    <s v="Women Kurti"/>
    <x v="26"/>
    <n v="3"/>
    <n v="3276"/>
    <n v="0.22"/>
    <n v="704.42"/>
    <s v="Net Banking"/>
    <s v="Rajasthan"/>
    <x v="10"/>
    <x v="0"/>
    <s v="Returning"/>
  </r>
  <r>
    <s v="ORD100892"/>
    <x v="123"/>
    <s v="Aditya Yadav"/>
    <x v="0"/>
    <s v="Water Bottle"/>
    <x v="35"/>
    <n v="2"/>
    <n v="1280"/>
    <n v="0.2"/>
    <n v="231.1"/>
    <s v="Credit Card"/>
    <s v="Bihar"/>
    <x v="5"/>
    <x v="3"/>
    <s v="Returning"/>
  </r>
  <r>
    <s v="ORD100893"/>
    <x v="211"/>
    <s v="Rohit Jain"/>
    <x v="2"/>
    <s v="Jacket"/>
    <x v="2"/>
    <n v="3"/>
    <n v="6972"/>
    <n v="0.17"/>
    <n v="908.62"/>
    <s v="Wallet"/>
    <s v="Odisha"/>
    <x v="17"/>
    <x v="3"/>
    <s v="Returning"/>
  </r>
  <r>
    <s v="ORD100894"/>
    <x v="328"/>
    <s v="Aarav Singh"/>
    <x v="1"/>
    <s v="Headphones"/>
    <x v="30"/>
    <n v="5"/>
    <n v="10000"/>
    <n v="0.2"/>
    <n v="1616.29"/>
    <s v="Cash on Delivery"/>
    <s v="Rajasthan"/>
    <x v="7"/>
    <x v="0"/>
    <s v="New"/>
  </r>
  <r>
    <s v="ORD100895"/>
    <x v="288"/>
    <s v="Priya Yadav"/>
    <x v="4"/>
    <s v="Yoga Mat"/>
    <x v="17"/>
    <n v="3"/>
    <n v="1971"/>
    <n v="0.27"/>
    <n v="328.53"/>
    <s v="Cash on Delivery"/>
    <s v="Tamil Nadu"/>
    <x v="19"/>
    <x v="1"/>
    <s v="Returning"/>
  </r>
  <r>
    <s v="ORD100896"/>
    <x v="284"/>
    <s v="Rahul Kumar"/>
    <x v="3"/>
    <s v="Shampoo"/>
    <x v="33"/>
    <n v="1"/>
    <n v="546"/>
    <n v="0.16"/>
    <n v="72.7"/>
    <s v="Cash on Delivery"/>
    <s v="Madhya Pradesh"/>
    <x v="0"/>
    <x v="0"/>
    <s v="Returning"/>
  </r>
  <r>
    <s v="ORD100897"/>
    <x v="274"/>
    <s v="Aarav Agarwal"/>
    <x v="4"/>
    <s v="Football"/>
    <x v="34"/>
    <n v="2"/>
    <n v="1824"/>
    <n v="0.24"/>
    <n v="348.79"/>
    <s v="Net Banking"/>
    <s v="Delhi"/>
    <x v="3"/>
    <x v="2"/>
    <s v="New"/>
  </r>
  <r>
    <s v="ORD100898"/>
    <x v="151"/>
    <s v="Neha Kumar"/>
    <x v="1"/>
    <s v="Keyboard"/>
    <x v="6"/>
    <n v="5"/>
    <n v="7200"/>
    <n v="0.2"/>
    <n v="968.69"/>
    <s v="Debit Card"/>
    <s v="West Bengal"/>
    <x v="18"/>
    <x v="3"/>
    <s v="New"/>
  </r>
  <r>
    <s v="ORD100899"/>
    <x v="191"/>
    <s v="Priya Agarwal"/>
    <x v="2"/>
    <s v="Jacket"/>
    <x v="2"/>
    <n v="2"/>
    <n v="4760"/>
    <n v="0.15"/>
    <n v="762.12"/>
    <s v="Net Banking"/>
    <s v="Gujarat"/>
    <x v="1"/>
    <x v="0"/>
    <s v="New"/>
  </r>
  <r>
    <s v="ORD100900"/>
    <x v="261"/>
    <s v="Aditya Gupta"/>
    <x v="0"/>
    <s v="Coffee Maker"/>
    <x v="4"/>
    <n v="4"/>
    <n v="18600"/>
    <n v="7.0000000000000007E-2"/>
    <n v="3512.11"/>
    <s v="Debit Card"/>
    <s v="Rajasthan"/>
    <x v="7"/>
    <x v="0"/>
    <s v="Returning"/>
  </r>
  <r>
    <s v="ORD100901"/>
    <x v="329"/>
    <s v="Sneha Singh"/>
    <x v="0"/>
    <s v="Cookware Set"/>
    <x v="5"/>
    <n v="3"/>
    <n v="9240"/>
    <n v="0.12"/>
    <n v="1558.16"/>
    <s v="Debit Card"/>
    <s v="Punjab"/>
    <x v="15"/>
    <x v="2"/>
    <s v="New"/>
  </r>
  <r>
    <s v="ORD100902"/>
    <x v="237"/>
    <s v="Rahul Kumar"/>
    <x v="5"/>
    <s v="Dining Table"/>
    <x v="23"/>
    <n v="3"/>
    <n v="54780"/>
    <n v="0.17"/>
    <n v="5535.18"/>
    <s v="Credit Card"/>
    <s v="Karnataka"/>
    <x v="2"/>
    <x v="1"/>
    <s v="Returning"/>
  </r>
  <r>
    <s v="ORD100903"/>
    <x v="204"/>
    <s v="Priya Agarwal"/>
    <x v="3"/>
    <s v="Perfume"/>
    <x v="18"/>
    <n v="5"/>
    <n v="7470"/>
    <n v="0.17"/>
    <n v="1411.51"/>
    <s v="Credit Card"/>
    <s v="Haryana"/>
    <x v="8"/>
    <x v="2"/>
    <s v="New"/>
  </r>
  <r>
    <s v="ORD100904"/>
    <x v="239"/>
    <s v="Aman Agarwal"/>
    <x v="1"/>
    <s v="Tablet"/>
    <x v="1"/>
    <n v="1"/>
    <n v="14760"/>
    <n v="0.18"/>
    <n v="2312.69"/>
    <s v="Cash on Delivery"/>
    <s v="Kerala"/>
    <x v="14"/>
    <x v="1"/>
    <s v="Returning"/>
  </r>
  <r>
    <s v="ORD100905"/>
    <x v="247"/>
    <s v="Nisha Meena"/>
    <x v="3"/>
    <s v="Face Wash"/>
    <x v="3"/>
    <n v="5"/>
    <n v="1732.5"/>
    <n v="0.23"/>
    <n v="317.3"/>
    <s v="Wallet"/>
    <s v="Bihar"/>
    <x v="5"/>
    <x v="3"/>
    <s v="New"/>
  </r>
  <r>
    <s v="ORD100906"/>
    <x v="32"/>
    <s v="Kavya Kumar"/>
    <x v="3"/>
    <s v="Shampoo"/>
    <x v="33"/>
    <n v="3"/>
    <n v="1579.5"/>
    <n v="0.19"/>
    <n v="251.77"/>
    <s v="Cash on Delivery"/>
    <s v="Rajasthan"/>
    <x v="7"/>
    <x v="0"/>
    <s v="Returning"/>
  </r>
  <r>
    <s v="ORD100907"/>
    <x v="298"/>
    <s v="Rohit Agarwal"/>
    <x v="6"/>
    <s v="Business Book"/>
    <x v="19"/>
    <n v="5"/>
    <n v="2590"/>
    <n v="0.26"/>
    <n v="448.27"/>
    <s v="Cash on Delivery"/>
    <s v="Bihar"/>
    <x v="5"/>
    <x v="3"/>
    <s v="New"/>
  </r>
  <r>
    <s v="ORD100908"/>
    <x v="37"/>
    <s v="Simran Jain"/>
    <x v="2"/>
    <s v="Jacket"/>
    <x v="2"/>
    <n v="3"/>
    <n v="6804"/>
    <n v="0.19"/>
    <n v="733.5"/>
    <s v="Wallet"/>
    <s v="Uttar Pradesh"/>
    <x v="6"/>
    <x v="2"/>
    <s v="New"/>
  </r>
  <r>
    <s v="ORD100909"/>
    <x v="205"/>
    <s v="Aditya Sharma"/>
    <x v="1"/>
    <s v="Laptop"/>
    <x v="25"/>
    <n v="1"/>
    <n v="47850"/>
    <n v="0.13"/>
    <n v="4403.68"/>
    <s v="Debit Card"/>
    <s v="Bihar"/>
    <x v="5"/>
    <x v="3"/>
    <s v="Returning"/>
  </r>
  <r>
    <s v="ORD100910"/>
    <x v="263"/>
    <s v="Nisha Meena"/>
    <x v="5"/>
    <s v="Sofa"/>
    <x v="31"/>
    <n v="2"/>
    <n v="43680"/>
    <n v="0.22"/>
    <n v="3880.61"/>
    <s v="UPI"/>
    <s v="Tamil Nadu"/>
    <x v="19"/>
    <x v="1"/>
    <s v="Returning"/>
  </r>
  <r>
    <s v="ORD100911"/>
    <x v="249"/>
    <s v="Ananya Verma"/>
    <x v="2"/>
    <s v="Jeans"/>
    <x v="8"/>
    <n v="3"/>
    <n v="4428"/>
    <n v="0.18"/>
    <n v="738.6"/>
    <s v="Net Banking"/>
    <s v="Madhya Pradesh"/>
    <x v="0"/>
    <x v="0"/>
    <s v="Returning"/>
  </r>
  <r>
    <s v="ORD100912"/>
    <x v="137"/>
    <s v="Rohit Jain"/>
    <x v="5"/>
    <s v="Study Table"/>
    <x v="28"/>
    <n v="2"/>
    <n v="11440"/>
    <n v="0.12"/>
    <n v="1278.03"/>
    <s v="Wallet"/>
    <s v="West Bengal"/>
    <x v="18"/>
    <x v="3"/>
    <s v="Returning"/>
  </r>
  <r>
    <s v="ORD100913"/>
    <x v="198"/>
    <s v="Simran Kumar"/>
    <x v="0"/>
    <s v="Water Bottle"/>
    <x v="35"/>
    <n v="3"/>
    <n v="1896"/>
    <n v="0.21"/>
    <n v="317.48"/>
    <s v="Debit Card"/>
    <s v="Gujarat"/>
    <x v="1"/>
    <x v="0"/>
    <s v="Returning"/>
  </r>
  <r>
    <s v="ORD100914"/>
    <x v="267"/>
    <s v="Aman Kumawat"/>
    <x v="1"/>
    <s v="Keyboard"/>
    <x v="6"/>
    <n v="2"/>
    <n v="3132"/>
    <n v="0.13"/>
    <n v="376.91"/>
    <s v="Net Banking"/>
    <s v="Maharashtra"/>
    <x v="4"/>
    <x v="0"/>
    <s v="Returning"/>
  </r>
  <r>
    <s v="ORD100915"/>
    <x v="91"/>
    <s v="Rahul Yadav"/>
    <x v="3"/>
    <s v="Skin Care Kit"/>
    <x v="20"/>
    <n v="5"/>
    <n v="9460"/>
    <n v="0.14000000000000001"/>
    <n v="1431.59"/>
    <s v="Debit Card"/>
    <s v="Rajasthan"/>
    <x v="7"/>
    <x v="0"/>
    <s v="Returning"/>
  </r>
  <r>
    <s v="ORD100916"/>
    <x v="330"/>
    <s v="Neha Yadav"/>
    <x v="5"/>
    <s v="Office Chair"/>
    <x v="32"/>
    <n v="2"/>
    <n v="12000"/>
    <n v="0.2"/>
    <n v="1927.09"/>
    <s v="Debit Card"/>
    <s v="Rajasthan"/>
    <x v="7"/>
    <x v="0"/>
    <s v="New"/>
  </r>
  <r>
    <s v="ORD100917"/>
    <x v="210"/>
    <s v="Karan Verma"/>
    <x v="5"/>
    <s v="Study Table"/>
    <x v="28"/>
    <n v="1"/>
    <n v="5200"/>
    <n v="0.2"/>
    <n v="457.92"/>
    <s v="Wallet"/>
    <s v="Haryana"/>
    <x v="8"/>
    <x v="2"/>
    <s v="Returning"/>
  </r>
  <r>
    <s v="ORD100918"/>
    <x v="157"/>
    <s v="Priya Kumar"/>
    <x v="1"/>
    <s v="Smartphone"/>
    <x v="22"/>
    <n v="1"/>
    <n v="23250"/>
    <n v="7.0000000000000007E-2"/>
    <n v="2749.51"/>
    <s v="Cash on Delivery"/>
    <s v="Kerala"/>
    <x v="14"/>
    <x v="1"/>
    <s v="New"/>
  </r>
  <r>
    <s v="ORD100919"/>
    <x v="315"/>
    <s v="Riya Kumawat"/>
    <x v="3"/>
    <s v="Skin Care Kit"/>
    <x v="20"/>
    <n v="1"/>
    <n v="1870"/>
    <n v="0.15"/>
    <n v="335.57"/>
    <s v="Cash on Delivery"/>
    <s v="Goa"/>
    <x v="13"/>
    <x v="0"/>
    <s v="Returning"/>
  </r>
  <r>
    <s v="ORD100920"/>
    <x v="155"/>
    <s v="Vivaan Jain"/>
    <x v="3"/>
    <s v="Shampoo"/>
    <x v="33"/>
    <n v="1"/>
    <n v="539.5"/>
    <n v="0.17"/>
    <n v="108.06"/>
    <s v="Cash on Delivery"/>
    <s v="Bihar"/>
    <x v="5"/>
    <x v="3"/>
    <s v="New"/>
  </r>
  <r>
    <s v="ORD100921"/>
    <x v="21"/>
    <s v="Priya Meena"/>
    <x v="1"/>
    <s v="Mouse"/>
    <x v="36"/>
    <n v="1"/>
    <n v="783"/>
    <n v="0.13"/>
    <n v="133.88999999999999"/>
    <s v="Net Banking"/>
    <s v="West Bengal"/>
    <x v="18"/>
    <x v="3"/>
    <s v="Returning"/>
  </r>
  <r>
    <s v="ORD100922"/>
    <x v="279"/>
    <s v="Sahil Yadav"/>
    <x v="4"/>
    <s v="Badminton Racket"/>
    <x v="9"/>
    <n v="2"/>
    <n v="3168"/>
    <n v="0.12"/>
    <n v="654.04999999999995"/>
    <s v="Wallet"/>
    <s v="Madhya Pradesh"/>
    <x v="0"/>
    <x v="0"/>
    <s v="Returning"/>
  </r>
  <r>
    <s v="ORD100923"/>
    <x v="98"/>
    <s v="Rahul Verma"/>
    <x v="1"/>
    <s v="Mouse"/>
    <x v="36"/>
    <n v="3"/>
    <n v="2349"/>
    <n v="0.13"/>
    <n v="418.3"/>
    <s v="Debit Card"/>
    <s v="Kerala"/>
    <x v="14"/>
    <x v="1"/>
    <s v="Returning"/>
  </r>
  <r>
    <s v="ORD100924"/>
    <x v="142"/>
    <s v="Ananya Singh"/>
    <x v="2"/>
    <s v="Sneakers"/>
    <x v="29"/>
    <n v="2"/>
    <n v="4980"/>
    <n v="0.17"/>
    <n v="791.18"/>
    <s v="UPI"/>
    <s v="Telangana"/>
    <x v="11"/>
    <x v="1"/>
    <s v="Returning"/>
  </r>
  <r>
    <s v="ORD100925"/>
    <x v="243"/>
    <s v="Riya Kumawat"/>
    <x v="4"/>
    <s v="Yoga Mat"/>
    <x v="17"/>
    <n v="2"/>
    <n v="1458"/>
    <n v="0.19"/>
    <n v="256.42"/>
    <s v="Net Banking"/>
    <s v="West Bengal"/>
    <x v="18"/>
    <x v="3"/>
    <s v="Returning"/>
  </r>
  <r>
    <s v="ORD100926"/>
    <x v="60"/>
    <s v="Aarav Singh"/>
    <x v="1"/>
    <s v="Mouse"/>
    <x v="36"/>
    <n v="2"/>
    <n v="1620"/>
    <n v="0.1"/>
    <n v="289.36"/>
    <s v="Cash on Delivery"/>
    <s v="Delhi"/>
    <x v="3"/>
    <x v="2"/>
    <s v="Returning"/>
  </r>
  <r>
    <s v="ORD100927"/>
    <x v="275"/>
    <s v="Arjun Gupta"/>
    <x v="1"/>
    <s v="Smartphone"/>
    <x v="22"/>
    <n v="3"/>
    <n v="67500"/>
    <n v="0.1"/>
    <n v="3435.7"/>
    <s v="Debit Card"/>
    <s v="Rajasthan"/>
    <x v="9"/>
    <x v="0"/>
    <s v="Returning"/>
  </r>
  <r>
    <s v="ORD100928"/>
    <x v="301"/>
    <s v="Aarav Kumawat"/>
    <x v="2"/>
    <s v="Jeans"/>
    <x v="8"/>
    <n v="4"/>
    <n v="5760"/>
    <n v="0.2"/>
    <n v="831.57"/>
    <s v="Credit Card"/>
    <s v="Tamil Nadu"/>
    <x v="19"/>
    <x v="1"/>
    <s v="Returning"/>
  </r>
  <r>
    <s v="ORD100929"/>
    <x v="331"/>
    <s v="Isha Agarwal"/>
    <x v="6"/>
    <s v="Novel"/>
    <x v="14"/>
    <n v="4"/>
    <n v="1440"/>
    <n v="0.28000000000000003"/>
    <n v="333.88"/>
    <s v="Wallet"/>
    <s v="Rajasthan"/>
    <x v="10"/>
    <x v="0"/>
    <s v="Returning"/>
  </r>
  <r>
    <s v="ORD100930"/>
    <x v="92"/>
    <s v="Kavya Verma"/>
    <x v="2"/>
    <s v="Women Kurti"/>
    <x v="26"/>
    <n v="2"/>
    <n v="2212"/>
    <n v="0.21"/>
    <n v="423.85"/>
    <s v="Net Banking"/>
    <s v="Uttar Pradesh"/>
    <x v="6"/>
    <x v="2"/>
    <s v="New"/>
  </r>
  <r>
    <s v="ORD100931"/>
    <x v="149"/>
    <s v="Nisha Kumawat"/>
    <x v="1"/>
    <s v="Laptop"/>
    <x v="25"/>
    <n v="2"/>
    <n v="101200"/>
    <n v="0.08"/>
    <n v="11823.91"/>
    <s v="Cash on Delivery"/>
    <s v="Maharashtra"/>
    <x v="4"/>
    <x v="0"/>
    <s v="Returning"/>
  </r>
  <r>
    <s v="ORD100932"/>
    <x v="211"/>
    <s v="Simran Agarwal"/>
    <x v="1"/>
    <s v="Smartphone"/>
    <x v="22"/>
    <n v="5"/>
    <n v="110000"/>
    <n v="0.12"/>
    <n v="15312.01"/>
    <s v="Wallet"/>
    <s v="Karnataka"/>
    <x v="2"/>
    <x v="1"/>
    <s v="New"/>
  </r>
  <r>
    <s v="ORD100933"/>
    <x v="286"/>
    <s v="Sahil Sharma"/>
    <x v="2"/>
    <s v="Women Kurti"/>
    <x v="26"/>
    <n v="2"/>
    <n v="2156"/>
    <n v="0.23"/>
    <n v="359.82"/>
    <s v="Wallet"/>
    <s v="Madhya Pradesh"/>
    <x v="0"/>
    <x v="0"/>
    <s v="New"/>
  </r>
  <r>
    <s v="ORD100934"/>
    <x v="332"/>
    <s v="Kavya Kumar"/>
    <x v="5"/>
    <s v="Bookshelf"/>
    <x v="10"/>
    <n v="3"/>
    <n v="13200"/>
    <n v="0.12"/>
    <n v="1756.59"/>
    <s v="Debit Card"/>
    <s v="Bihar"/>
    <x v="5"/>
    <x v="3"/>
    <s v="Returning"/>
  </r>
  <r>
    <s v="ORD100935"/>
    <x v="214"/>
    <s v="Arjun Singh"/>
    <x v="5"/>
    <s v="Office Chair"/>
    <x v="32"/>
    <n v="1"/>
    <n v="6450"/>
    <n v="0.14000000000000001"/>
    <n v="1264.0899999999999"/>
    <s v="Wallet"/>
    <s v="Goa"/>
    <x v="13"/>
    <x v="0"/>
    <s v="Returning"/>
  </r>
  <r>
    <s v="ORD100936"/>
    <x v="250"/>
    <s v="Arjun Agarwal"/>
    <x v="2"/>
    <s v="Women Kurti"/>
    <x v="26"/>
    <n v="5"/>
    <n v="5670"/>
    <n v="0.19"/>
    <n v="1218.8599999999999"/>
    <s v="Credit Card"/>
    <s v="Madhya Pradesh"/>
    <x v="0"/>
    <x v="0"/>
    <s v="New"/>
  </r>
  <r>
    <s v="ORD100937"/>
    <x v="6"/>
    <s v="Rahul Kumawat"/>
    <x v="2"/>
    <s v="Jacket"/>
    <x v="2"/>
    <n v="1"/>
    <n v="2352"/>
    <n v="0.16"/>
    <n v="434.7"/>
    <s v="Debit Card"/>
    <s v="Karnataka"/>
    <x v="2"/>
    <x v="1"/>
    <s v="Returning"/>
  </r>
  <r>
    <s v="ORD100938"/>
    <x v="333"/>
    <s v="Aditya Kumawat"/>
    <x v="6"/>
    <s v="Novel"/>
    <x v="14"/>
    <n v="2"/>
    <n v="710"/>
    <n v="0.28999999999999998"/>
    <n v="133.72"/>
    <s v="Credit Card"/>
    <s v="Madhya Pradesh"/>
    <x v="0"/>
    <x v="0"/>
    <s v="New"/>
  </r>
  <r>
    <s v="ORD100939"/>
    <x v="334"/>
    <s v="Isha Agarwal"/>
    <x v="4"/>
    <s v="Cricket Bat"/>
    <x v="16"/>
    <n v="3"/>
    <n v="8505"/>
    <n v="0.19"/>
    <n v="1533.61"/>
    <s v="Debit Card"/>
    <s v="Punjab"/>
    <x v="15"/>
    <x v="2"/>
    <s v="Returning"/>
  </r>
  <r>
    <s v="ORD100940"/>
    <x v="119"/>
    <s v="Rohit Sharma"/>
    <x v="4"/>
    <s v="Yoga Mat"/>
    <x v="17"/>
    <n v="1"/>
    <n v="729"/>
    <n v="0.19"/>
    <n v="144.36000000000001"/>
    <s v="Debit Card"/>
    <s v="Uttar Pradesh"/>
    <x v="6"/>
    <x v="2"/>
    <s v="Returning"/>
  </r>
  <r>
    <s v="ORD100941"/>
    <x v="99"/>
    <s v="Sahil Jain"/>
    <x v="4"/>
    <s v="Yoga Mat"/>
    <x v="17"/>
    <n v="3"/>
    <n v="2376"/>
    <n v="0.12"/>
    <n v="447.64"/>
    <s v="UPI"/>
    <s v="Gujarat"/>
    <x v="1"/>
    <x v="0"/>
    <s v="Returning"/>
  </r>
  <r>
    <s v="ORD100942"/>
    <x v="260"/>
    <s v="Rahul Kumar"/>
    <x v="0"/>
    <s v="Air Fryer"/>
    <x v="15"/>
    <n v="3"/>
    <n v="17940"/>
    <n v="0.08"/>
    <n v="2599.4899999999998"/>
    <s v="Debit Card"/>
    <s v="Karnataka"/>
    <x v="2"/>
    <x v="1"/>
    <s v="New"/>
  </r>
  <r>
    <s v="ORD100943"/>
    <x v="167"/>
    <s v="Aditya Sharma"/>
    <x v="6"/>
    <s v="Data Analytics Book"/>
    <x v="12"/>
    <n v="5"/>
    <n v="5160"/>
    <n v="0.14000000000000001"/>
    <n v="1084.78"/>
    <s v="UPI"/>
    <s v="Rajasthan"/>
    <x v="10"/>
    <x v="0"/>
    <s v="Returning"/>
  </r>
  <r>
    <s v="ORD100944"/>
    <x v="21"/>
    <s v="Aman Kumawat"/>
    <x v="0"/>
    <s v="Bedsheet"/>
    <x v="21"/>
    <n v="3"/>
    <n v="3204"/>
    <n v="0.11"/>
    <n v="624.25"/>
    <s v="Credit Card"/>
    <s v="Goa"/>
    <x v="13"/>
    <x v="0"/>
    <s v="New"/>
  </r>
  <r>
    <s v="ORD100945"/>
    <x v="335"/>
    <s v="Sneha Gupta"/>
    <x v="6"/>
    <s v="Programming Book"/>
    <x v="13"/>
    <n v="3"/>
    <n v="2241"/>
    <n v="0.17"/>
    <n v="334.86"/>
    <s v="UPI"/>
    <s v="Rajasthan"/>
    <x v="7"/>
    <x v="0"/>
    <s v="Returning"/>
  </r>
  <r>
    <s v="ORD100946"/>
    <x v="185"/>
    <s v="Sneha Meena"/>
    <x v="1"/>
    <s v="Bluetooth Speaker"/>
    <x v="11"/>
    <n v="2"/>
    <n v="6090"/>
    <n v="0.13"/>
    <n v="516.59"/>
    <s v="Wallet"/>
    <s v="Maharashtra"/>
    <x v="12"/>
    <x v="0"/>
    <s v="Returning"/>
  </r>
  <r>
    <s v="ORD100947"/>
    <x v="334"/>
    <s v="Riya Singh"/>
    <x v="2"/>
    <s v="Sneakers"/>
    <x v="29"/>
    <n v="1"/>
    <n v="2670"/>
    <n v="0.11"/>
    <n v="365.68"/>
    <s v="Debit Card"/>
    <s v="Maharashtra"/>
    <x v="12"/>
    <x v="0"/>
    <s v="Returning"/>
  </r>
  <r>
    <s v="ORD100948"/>
    <x v="310"/>
    <s v="Rahul Gupta"/>
    <x v="2"/>
    <s v="Jeans"/>
    <x v="8"/>
    <n v="1"/>
    <n v="1512"/>
    <n v="0.16"/>
    <n v="243.38"/>
    <s v="UPI"/>
    <s v="Karnataka"/>
    <x v="2"/>
    <x v="1"/>
    <s v="New"/>
  </r>
  <r>
    <s v="ORD100949"/>
    <x v="274"/>
    <s v="Karan Gupta"/>
    <x v="4"/>
    <s v="Football"/>
    <x v="34"/>
    <n v="5"/>
    <n v="4740"/>
    <n v="0.21"/>
    <n v="560.9"/>
    <s v="Cash on Delivery"/>
    <s v="West Bengal"/>
    <x v="18"/>
    <x v="3"/>
    <s v="Returning"/>
  </r>
  <r>
    <s v="ORD100950"/>
    <x v="263"/>
    <s v="Kavya Agarwal"/>
    <x v="5"/>
    <s v="Bed"/>
    <x v="27"/>
    <n v="3"/>
    <n v="76500"/>
    <n v="0.15"/>
    <n v="7743.37"/>
    <s v="UPI"/>
    <s v="Telangana"/>
    <x v="11"/>
    <x v="1"/>
    <s v="Returning"/>
  </r>
  <r>
    <s v="ORD100951"/>
    <x v="4"/>
    <s v="Aarav Kumar"/>
    <x v="1"/>
    <s v="Keyboard"/>
    <x v="6"/>
    <n v="1"/>
    <n v="1458"/>
    <n v="0.19"/>
    <n v="126.1"/>
    <s v="Net Banking"/>
    <s v="Uttar Pradesh"/>
    <x v="6"/>
    <x v="2"/>
    <s v="Returning"/>
  </r>
  <r>
    <s v="ORD100952"/>
    <x v="135"/>
    <s v="Sahil Gupta"/>
    <x v="6"/>
    <s v="Novel"/>
    <x v="14"/>
    <n v="3"/>
    <n v="1110"/>
    <n v="0.26"/>
    <n v="203.66"/>
    <s v="Credit Card"/>
    <s v="West Bengal"/>
    <x v="18"/>
    <x v="3"/>
    <s v="New"/>
  </r>
  <r>
    <s v="ORD100953"/>
    <x v="157"/>
    <s v="Karan Meena"/>
    <x v="5"/>
    <s v="Office Chair"/>
    <x v="32"/>
    <n v="2"/>
    <n v="12600"/>
    <n v="0.16"/>
    <n v="1483.06"/>
    <s v="Debit Card"/>
    <s v="Madhya Pradesh"/>
    <x v="0"/>
    <x v="0"/>
    <s v="New"/>
  </r>
  <r>
    <s v="ORD100954"/>
    <x v="86"/>
    <s v="Sahil Kumar"/>
    <x v="5"/>
    <s v="Dining Table"/>
    <x v="23"/>
    <n v="5"/>
    <n v="95700"/>
    <n v="0.13"/>
    <n v="14274.87"/>
    <s v="UPI"/>
    <s v="Rajasthan"/>
    <x v="7"/>
    <x v="0"/>
    <s v="New"/>
  </r>
  <r>
    <s v="ORD100955"/>
    <x v="313"/>
    <s v="Priya Verma"/>
    <x v="1"/>
    <s v="Mouse"/>
    <x v="36"/>
    <n v="4"/>
    <n v="3168"/>
    <n v="0.12"/>
    <n v="467.55"/>
    <s v="Net Banking"/>
    <s v="Madhya Pradesh"/>
    <x v="0"/>
    <x v="0"/>
    <s v="Returning"/>
  </r>
  <r>
    <s v="ORD100956"/>
    <x v="102"/>
    <s v="Arjun Jain"/>
    <x v="1"/>
    <s v="Bluetooth Speaker"/>
    <x v="11"/>
    <n v="2"/>
    <n v="6090"/>
    <n v="0.13"/>
    <n v="935.74"/>
    <s v="Net Banking"/>
    <s v="Kerala"/>
    <x v="14"/>
    <x v="1"/>
    <s v="Returning"/>
  </r>
  <r>
    <s v="ORD100957"/>
    <x v="202"/>
    <s v="Karan Jain"/>
    <x v="2"/>
    <s v="Men T-Shirt"/>
    <x v="24"/>
    <n v="4"/>
    <n v="2952"/>
    <n v="0.18"/>
    <n v="610.17999999999995"/>
    <s v="Debit Card"/>
    <s v="Bihar"/>
    <x v="5"/>
    <x v="3"/>
    <s v="Returning"/>
  </r>
  <r>
    <s v="ORD100958"/>
    <x v="101"/>
    <s v="Aarav Meena"/>
    <x v="1"/>
    <s v="Mouse"/>
    <x v="36"/>
    <n v="3"/>
    <n v="2295"/>
    <n v="0.15"/>
    <n v="292.82"/>
    <s v="Debit Card"/>
    <s v="Karnataka"/>
    <x v="2"/>
    <x v="1"/>
    <s v="Returning"/>
  </r>
  <r>
    <s v="ORD100959"/>
    <x v="164"/>
    <s v="Vikas Kumawat"/>
    <x v="0"/>
    <s v="Coffee Maker"/>
    <x v="4"/>
    <n v="2"/>
    <n v="8400"/>
    <n v="0.16"/>
    <n v="1112.8800000000001"/>
    <s v="Debit Card"/>
    <s v="Gujarat"/>
    <x v="1"/>
    <x v="0"/>
    <s v="New"/>
  </r>
  <r>
    <s v="ORD100960"/>
    <x v="48"/>
    <s v="Kavya Verma"/>
    <x v="1"/>
    <s v="Bluetooth Speaker"/>
    <x v="11"/>
    <n v="2"/>
    <n v="5600"/>
    <n v="0.2"/>
    <n v="686.5"/>
    <s v="UPI"/>
    <s v="Gujarat"/>
    <x v="1"/>
    <x v="0"/>
    <s v="Returning"/>
  </r>
  <r>
    <s v="ORD100961"/>
    <x v="62"/>
    <s v="Isha Yadav"/>
    <x v="1"/>
    <s v="Laptop"/>
    <x v="25"/>
    <n v="2"/>
    <n v="95700"/>
    <n v="0.13"/>
    <n v="15275.55"/>
    <s v="Debit Card"/>
    <s v="Kerala"/>
    <x v="14"/>
    <x v="1"/>
    <s v="Returning"/>
  </r>
  <r>
    <s v="ORD100962"/>
    <x v="315"/>
    <s v="Vivaan Kumawat"/>
    <x v="3"/>
    <s v="Shampoo"/>
    <x v="33"/>
    <n v="3"/>
    <n v="1716"/>
    <n v="0.12"/>
    <n v="366.41"/>
    <s v="Net Banking"/>
    <s v="Kerala"/>
    <x v="14"/>
    <x v="1"/>
    <s v="Returning"/>
  </r>
  <r>
    <s v="ORD100963"/>
    <x v="201"/>
    <s v="Simran Yadav"/>
    <x v="4"/>
    <s v="Cricket Bat"/>
    <x v="16"/>
    <n v="2"/>
    <n v="6230"/>
    <n v="0.11"/>
    <n v="963.75"/>
    <s v="Net Banking"/>
    <s v="Delhi"/>
    <x v="3"/>
    <x v="2"/>
    <s v="New"/>
  </r>
  <r>
    <s v="ORD100964"/>
    <x v="4"/>
    <s v="Simran Verma"/>
    <x v="6"/>
    <s v="Novel"/>
    <x v="14"/>
    <n v="2"/>
    <n v="810"/>
    <n v="0.19"/>
    <n v="144.78"/>
    <s v="Net Banking"/>
    <s v="Karnataka"/>
    <x v="2"/>
    <x v="1"/>
    <s v="Returning"/>
  </r>
  <r>
    <s v="ORD100965"/>
    <x v="236"/>
    <s v="Sahil Yadav"/>
    <x v="3"/>
    <s v="Face Wash"/>
    <x v="3"/>
    <n v="3"/>
    <n v="1066.5"/>
    <n v="0.21"/>
    <n v="198.73"/>
    <s v="Net Banking"/>
    <s v="Maharashtra"/>
    <x v="12"/>
    <x v="0"/>
    <s v="Returning"/>
  </r>
  <r>
    <s v="ORD100966"/>
    <x v="327"/>
    <s v="Priya Meena"/>
    <x v="1"/>
    <s v="Laptop"/>
    <x v="25"/>
    <n v="2"/>
    <n v="103400"/>
    <n v="0.06"/>
    <n v="12040.29"/>
    <s v="Cash on Delivery"/>
    <s v="Goa"/>
    <x v="13"/>
    <x v="0"/>
    <s v="New"/>
  </r>
  <r>
    <s v="ORD100967"/>
    <x v="279"/>
    <s v="Kavya Agarwal"/>
    <x v="4"/>
    <s v="Badminton Racket"/>
    <x v="9"/>
    <n v="2"/>
    <n v="2736"/>
    <n v="0.24"/>
    <n v="378.69"/>
    <s v="Wallet"/>
    <s v="Tamil Nadu"/>
    <x v="19"/>
    <x v="1"/>
    <s v="New"/>
  </r>
  <r>
    <s v="ORD100968"/>
    <x v="233"/>
    <s v="Arjun Jain"/>
    <x v="1"/>
    <s v="Smart Watch"/>
    <x v="7"/>
    <n v="1"/>
    <n v="4800"/>
    <n v="0.04"/>
    <n v="612.66"/>
    <s v="Debit Card"/>
    <s v="Bihar"/>
    <x v="5"/>
    <x v="3"/>
    <s v="Returning"/>
  </r>
  <r>
    <s v="ORD100969"/>
    <x v="236"/>
    <s v="Nisha Gupta"/>
    <x v="3"/>
    <s v="Perfume"/>
    <x v="18"/>
    <n v="4"/>
    <n v="5904"/>
    <n v="0.18"/>
    <n v="894.55"/>
    <s v="Wallet"/>
    <s v="Rajasthan"/>
    <x v="10"/>
    <x v="0"/>
    <s v="New"/>
  </r>
  <r>
    <s v="ORD100970"/>
    <x v="205"/>
    <s v="Kavya Kumar"/>
    <x v="0"/>
    <s v="Mixer Grinder"/>
    <x v="0"/>
    <n v="3"/>
    <n v="10935"/>
    <n v="0.19"/>
    <n v="1641.15"/>
    <s v="UPI"/>
    <s v="Bihar"/>
    <x v="5"/>
    <x v="3"/>
    <s v="New"/>
  </r>
  <r>
    <s v="ORD100971"/>
    <x v="219"/>
    <s v="Aditya Jain"/>
    <x v="0"/>
    <s v="Air Fryer"/>
    <x v="15"/>
    <n v="3"/>
    <n v="16575"/>
    <n v="0.15"/>
    <n v="2450.91"/>
    <s v="UPI"/>
    <s v="Punjab"/>
    <x v="15"/>
    <x v="2"/>
    <s v="New"/>
  </r>
  <r>
    <s v="ORD100972"/>
    <x v="33"/>
    <s v="Aman Singh"/>
    <x v="4"/>
    <s v="Yoga Mat"/>
    <x v="17"/>
    <n v="1"/>
    <n v="711"/>
    <n v="0.21"/>
    <n v="136.53"/>
    <s v="Credit Card"/>
    <s v="Rajasthan"/>
    <x v="10"/>
    <x v="0"/>
    <s v="Returning"/>
  </r>
  <r>
    <s v="ORD100973"/>
    <x v="175"/>
    <s v="Aman Meena"/>
    <x v="5"/>
    <s v="Dining Table"/>
    <x v="23"/>
    <n v="4"/>
    <n v="77440"/>
    <n v="0.12"/>
    <n v="7031.13"/>
    <s v="Net Banking"/>
    <s v="West Bengal"/>
    <x v="18"/>
    <x v="3"/>
    <s v="Returning"/>
  </r>
  <r>
    <s v="ORD100974"/>
    <x v="139"/>
    <s v="Vikas Kumawat"/>
    <x v="6"/>
    <s v="Novel"/>
    <x v="14"/>
    <n v="2"/>
    <n v="760"/>
    <n v="0.24"/>
    <n v="153.28"/>
    <s v="Cash on Delivery"/>
    <s v="Rajasthan"/>
    <x v="10"/>
    <x v="0"/>
    <s v="Returning"/>
  </r>
  <r>
    <s v="ORD100975"/>
    <x v="182"/>
    <s v="Arjun Jain"/>
    <x v="4"/>
    <s v="Yoga Mat"/>
    <x v="17"/>
    <n v="3"/>
    <n v="1971"/>
    <n v="0.27"/>
    <n v="407.03"/>
    <s v="Credit Card"/>
    <s v="Karnataka"/>
    <x v="2"/>
    <x v="1"/>
    <s v="Returning"/>
  </r>
  <r>
    <s v="ORD100976"/>
    <x v="181"/>
    <s v="Rohit Sharma"/>
    <x v="2"/>
    <s v="Women Kurti"/>
    <x v="26"/>
    <n v="3"/>
    <n v="3486"/>
    <n v="0.17"/>
    <n v="611.12"/>
    <s v="Debit Card"/>
    <s v="Kerala"/>
    <x v="14"/>
    <x v="1"/>
    <s v="Returning"/>
  </r>
  <r>
    <s v="ORD100977"/>
    <x v="336"/>
    <s v="Aman Gupta"/>
    <x v="2"/>
    <s v="Men T-Shirt"/>
    <x v="24"/>
    <n v="1"/>
    <n v="729"/>
    <n v="0.19"/>
    <n v="121.83"/>
    <s v="Debit Card"/>
    <s v="Bihar"/>
    <x v="5"/>
    <x v="3"/>
    <s v="Returning"/>
  </r>
  <r>
    <s v="ORD100978"/>
    <x v="258"/>
    <s v="Rahul Meena"/>
    <x v="1"/>
    <s v="Mouse"/>
    <x v="36"/>
    <n v="4"/>
    <n v="3348"/>
    <n v="7.0000000000000007E-2"/>
    <n v="556.61"/>
    <s v="UPI"/>
    <s v="Punjab"/>
    <x v="15"/>
    <x v="2"/>
    <s v="Returning"/>
  </r>
  <r>
    <s v="ORD100979"/>
    <x v="177"/>
    <s v="Aditya Sharma"/>
    <x v="6"/>
    <s v="Data Analytics Book"/>
    <x v="12"/>
    <n v="4"/>
    <n v="3984"/>
    <n v="0.17"/>
    <n v="723.86"/>
    <s v="Cash on Delivery"/>
    <s v="Odisha"/>
    <x v="17"/>
    <x v="3"/>
    <s v="Returning"/>
  </r>
  <r>
    <s v="ORD100980"/>
    <x v="139"/>
    <s v="Nisha Kumar"/>
    <x v="4"/>
    <s v="Yoga Mat"/>
    <x v="17"/>
    <n v="3"/>
    <n v="2187"/>
    <n v="0.19"/>
    <n v="404.21"/>
    <s v="Cash on Delivery"/>
    <s v="Uttar Pradesh"/>
    <x v="6"/>
    <x v="2"/>
    <s v="Returning"/>
  </r>
  <r>
    <s v="ORD100981"/>
    <x v="227"/>
    <s v="Sneha Yadav"/>
    <x v="0"/>
    <s v="Mixer Grinder"/>
    <x v="0"/>
    <n v="1"/>
    <n v="4140"/>
    <n v="0.08"/>
    <n v="374.74"/>
    <s v="Credit Card"/>
    <s v="West Bengal"/>
    <x v="18"/>
    <x v="3"/>
    <s v="Returning"/>
  </r>
  <r>
    <s v="ORD100982"/>
    <x v="325"/>
    <s v="Vikas Gupta"/>
    <x v="5"/>
    <s v="Office Chair"/>
    <x v="32"/>
    <n v="2"/>
    <n v="11700"/>
    <n v="0.22"/>
    <n v="1710.77"/>
    <s v="Net Banking"/>
    <s v="Uttar Pradesh"/>
    <x v="6"/>
    <x v="2"/>
    <s v="Returning"/>
  </r>
  <r>
    <s v="ORD100983"/>
    <x v="82"/>
    <s v="Arjun Gupta"/>
    <x v="5"/>
    <s v="Bookshelf"/>
    <x v="10"/>
    <n v="4"/>
    <n v="16600"/>
    <n v="0.17"/>
    <n v="2075.7199999999998"/>
    <s v="Credit Card"/>
    <s v="Maharashtra"/>
    <x v="4"/>
    <x v="0"/>
    <s v="New"/>
  </r>
  <r>
    <s v="ORD100984"/>
    <x v="104"/>
    <s v="Riya Gupta"/>
    <x v="0"/>
    <s v="Cookware Set"/>
    <x v="5"/>
    <n v="2"/>
    <n v="6090"/>
    <n v="0.13"/>
    <n v="807.2"/>
    <s v="Debit Card"/>
    <s v="Kerala"/>
    <x v="14"/>
    <x v="1"/>
    <s v="New"/>
  </r>
  <r>
    <s v="ORD100985"/>
    <x v="164"/>
    <s v="Vikas Verma"/>
    <x v="4"/>
    <s v="Football"/>
    <x v="34"/>
    <n v="1"/>
    <n v="996"/>
    <n v="0.17"/>
    <n v="166.88"/>
    <s v="UPI"/>
    <s v="Rajasthan"/>
    <x v="9"/>
    <x v="0"/>
    <s v="New"/>
  </r>
  <r>
    <s v="ORD100986"/>
    <x v="240"/>
    <s v="Rahul Singh"/>
    <x v="3"/>
    <s v="Perfume"/>
    <x v="18"/>
    <n v="1"/>
    <n v="1476"/>
    <n v="0.18"/>
    <n v="335.69"/>
    <s v="Debit Card"/>
    <s v="Bihar"/>
    <x v="5"/>
    <x v="3"/>
    <s v="Returning"/>
  </r>
  <r>
    <s v="ORD100987"/>
    <x v="103"/>
    <s v="Neha Gupta"/>
    <x v="5"/>
    <s v="Office Chair"/>
    <x v="32"/>
    <n v="1"/>
    <n v="5625"/>
    <n v="0.25"/>
    <n v="770.91"/>
    <s v="Cash on Delivery"/>
    <s v="Uttar Pradesh"/>
    <x v="16"/>
    <x v="2"/>
    <s v="New"/>
  </r>
  <r>
    <s v="ORD100988"/>
    <x v="312"/>
    <s v="Sneha Agarwal"/>
    <x v="5"/>
    <s v="Study Table"/>
    <x v="28"/>
    <n v="2"/>
    <n v="11570"/>
    <n v="0.11"/>
    <n v="1065.6400000000001"/>
    <s v="Credit Card"/>
    <s v="Rajasthan"/>
    <x v="10"/>
    <x v="0"/>
    <s v="Returning"/>
  </r>
  <r>
    <s v="ORD100989"/>
    <x v="201"/>
    <s v="Simran Jain"/>
    <x v="3"/>
    <s v="Face Wash"/>
    <x v="3"/>
    <n v="2"/>
    <n v="711"/>
    <n v="0.21"/>
    <n v="128.69"/>
    <s v="Cash on Delivery"/>
    <s v="Kerala"/>
    <x v="14"/>
    <x v="1"/>
    <s v="Returning"/>
  </r>
  <r>
    <s v="ORD100990"/>
    <x v="153"/>
    <s v="Vivaan Agarwal"/>
    <x v="3"/>
    <s v="Face Wash"/>
    <x v="3"/>
    <n v="3"/>
    <n v="1134"/>
    <n v="0.16"/>
    <n v="133.93"/>
    <s v="Wallet"/>
    <s v="Uttar Pradesh"/>
    <x v="16"/>
    <x v="2"/>
    <s v="Returning"/>
  </r>
  <r>
    <s v="ORD100991"/>
    <x v="21"/>
    <s v="Aarav Meena"/>
    <x v="6"/>
    <s v="Business Book"/>
    <x v="19"/>
    <n v="1"/>
    <n v="546"/>
    <n v="0.22"/>
    <n v="112.87"/>
    <s v="Credit Card"/>
    <s v="Uttar Pradesh"/>
    <x v="6"/>
    <x v="2"/>
    <s v="New"/>
  </r>
  <r>
    <s v="ORD100992"/>
    <x v="244"/>
    <s v="Pooja Gupta"/>
    <x v="5"/>
    <s v="Dining Table"/>
    <x v="23"/>
    <n v="4"/>
    <n v="79200"/>
    <n v="0.1"/>
    <n v="12024.28"/>
    <s v="UPI"/>
    <s v="Maharashtra"/>
    <x v="12"/>
    <x v="0"/>
    <s v="Returning"/>
  </r>
  <r>
    <s v="ORD100993"/>
    <x v="284"/>
    <s v="Priya Gupta"/>
    <x v="5"/>
    <s v="Bed"/>
    <x v="27"/>
    <n v="1"/>
    <n v="25200"/>
    <n v="0.16"/>
    <n v="1008"/>
    <s v="Credit Card"/>
    <s v="Goa"/>
    <x v="13"/>
    <x v="0"/>
    <s v="Returning"/>
  </r>
  <r>
    <s v="ORD100994"/>
    <x v="129"/>
    <s v="Pooja Kumar"/>
    <x v="0"/>
    <s v="Water Bottle"/>
    <x v="35"/>
    <n v="2"/>
    <n v="1280"/>
    <n v="0.2"/>
    <n v="231.36"/>
    <s v="Cash on Delivery"/>
    <s v="Madhya Pradesh"/>
    <x v="0"/>
    <x v="0"/>
    <s v="Returning"/>
  </r>
  <r>
    <s v="ORD100995"/>
    <x v="33"/>
    <s v="Sahil Verma"/>
    <x v="1"/>
    <s v="Smartphone"/>
    <x v="22"/>
    <n v="1"/>
    <n v="22250"/>
    <n v="0.11"/>
    <n v="1982.61"/>
    <s v="Debit Card"/>
    <s v="Uttar Pradesh"/>
    <x v="16"/>
    <x v="2"/>
    <s v="Returning"/>
  </r>
  <r>
    <s v="ORD100996"/>
    <x v="88"/>
    <s v="Isha Singh"/>
    <x v="0"/>
    <s v="Bedsheet"/>
    <x v="21"/>
    <n v="1"/>
    <n v="948"/>
    <n v="0.21"/>
    <n v="119.2"/>
    <s v="Wallet"/>
    <s v="Maharashtra"/>
    <x v="4"/>
    <x v="0"/>
    <s v="Returning"/>
  </r>
  <r>
    <s v="ORD100997"/>
    <x v="337"/>
    <s v="Aman Kumar"/>
    <x v="4"/>
    <s v="Yoga Mat"/>
    <x v="17"/>
    <n v="1"/>
    <n v="720"/>
    <n v="0.2"/>
    <n v="124.06"/>
    <s v="Credit Card"/>
    <s v="Telangana"/>
    <x v="11"/>
    <x v="1"/>
    <s v="New"/>
  </r>
  <r>
    <s v="ORD100998"/>
    <x v="192"/>
    <s v="Aman Jain"/>
    <x v="6"/>
    <s v="Business Book"/>
    <x v="19"/>
    <n v="1"/>
    <n v="574"/>
    <n v="0.18"/>
    <n v="98.23"/>
    <s v="Net Banking"/>
    <s v="West Bengal"/>
    <x v="18"/>
    <x v="3"/>
    <s v="Returning"/>
  </r>
  <r>
    <s v="ORD100999"/>
    <x v="87"/>
    <s v="Sneha Meena"/>
    <x v="6"/>
    <s v="Data Analytics Book"/>
    <x v="12"/>
    <n v="1"/>
    <n v="912"/>
    <n v="0.24"/>
    <n v="174.45"/>
    <s v="Net Banking"/>
    <s v="Karnataka"/>
    <x v="2"/>
    <x v="1"/>
    <s v="New"/>
  </r>
  <r>
    <s v="ORD101000"/>
    <x v="328"/>
    <s v="Sahil Singh"/>
    <x v="3"/>
    <s v="Perfume"/>
    <x v="18"/>
    <n v="2"/>
    <n v="2880"/>
    <n v="0.2"/>
    <n v="622.95000000000005"/>
    <s v="UPI"/>
    <s v="West Bengal"/>
    <x v="18"/>
    <x v="3"/>
    <s v="Retur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A91F5-5B80-47B8-BD10-08EAE1270215}"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6">
    <pivotField showAll="0"/>
    <pivotField showAll="0" sortType="ascending">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showAll="0">
      <items count="8">
        <item x="3"/>
        <item x="6"/>
        <item x="1"/>
        <item x="2"/>
        <item x="5"/>
        <item x="0"/>
        <item x="4"/>
        <item t="default"/>
      </items>
    </pivotField>
    <pivotField showAll="0"/>
    <pivotField showAll="0"/>
    <pivotField numFmtId="1" showAll="0"/>
    <pivotField dataField="1" numFmtId="2" showAll="0"/>
    <pivotField numFmtId="10" showAll="0"/>
    <pivotField numFmtId="4"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fld="7" baseField="0" baseItem="0" numFmtId="2"/>
  </dataFields>
  <formats count="2">
    <format dxfId="44">
      <pivotArea field="1" type="button" dataOnly="0" labelOnly="1" outline="0"/>
    </format>
    <format dxfId="45">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D20078-1587-4706-B541-2A6DD825392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6">
    <pivotField showAll="0"/>
    <pivotField showAll="0">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axis="axisRow" showAll="0">
      <items count="8">
        <item x="3"/>
        <item x="6"/>
        <item x="1"/>
        <item x="2"/>
        <item x="5"/>
        <item x="0"/>
        <item x="4"/>
        <item t="default"/>
      </items>
    </pivotField>
    <pivotField showAll="0"/>
    <pivotField showAll="0"/>
    <pivotField numFmtId="1" showAll="0"/>
    <pivotField dataField="1" numFmtId="2" showAll="0"/>
    <pivotField numFmtId="10" showAll="0"/>
    <pivotField numFmtId="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Sales" fld="7" baseField="0" baseItem="0" numFmtId="2"/>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3" format="14">
      <pivotArea type="data" outline="0" fieldPosition="0">
        <references count="2">
          <reference field="4294967294" count="1" selected="0">
            <x v="0"/>
          </reference>
          <reference field="3" count="1" selected="0">
            <x v="4"/>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A75EF2-9E95-48DE-82A5-8555D16BF6FE}"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6">
    <pivotField showAll="0"/>
    <pivotField showAll="0">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showAll="0">
      <items count="8">
        <item x="3"/>
        <item x="6"/>
        <item x="1"/>
        <item x="2"/>
        <item x="5"/>
        <item x="0"/>
        <item x="4"/>
        <item t="default"/>
      </items>
    </pivotField>
    <pivotField showAll="0"/>
    <pivotField showAll="0"/>
    <pivotField numFmtId="1" showAll="0"/>
    <pivotField dataField="1" numFmtId="2" showAll="0"/>
    <pivotField numFmtId="10" showAll="0"/>
    <pivotField numFmtId="4" showAll="0"/>
    <pivotField showAll="0"/>
    <pivotField showAll="0"/>
    <pivotField showAll="0"/>
    <pivotField axis="axisRow" showAll="0">
      <items count="5">
        <item x="3"/>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13"/>
  </rowFields>
  <rowItems count="5">
    <i>
      <x/>
    </i>
    <i>
      <x v="1"/>
    </i>
    <i>
      <x v="2"/>
    </i>
    <i>
      <x v="3"/>
    </i>
    <i t="grand">
      <x/>
    </i>
  </rowItems>
  <colItems count="1">
    <i/>
  </colItems>
  <dataFields count="1">
    <dataField name="Sum of Sales" fld="7" baseField="0" baseItem="0" numFmtId="2"/>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2"/>
          </reference>
        </references>
      </pivotArea>
    </chartFormat>
    <chartFormat chart="3"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3C462-CACB-49CE-B854-8B297247C53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3:Q14" firstHeaderRow="1" firstDataRow="1" firstDataCol="1"/>
  <pivotFields count="16">
    <pivotField showAll="0"/>
    <pivotField showAll="0">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showAll="0">
      <items count="8">
        <item x="3"/>
        <item x="6"/>
        <item x="1"/>
        <item x="2"/>
        <item x="5"/>
        <item x="0"/>
        <item x="4"/>
        <item t="default"/>
      </items>
    </pivotField>
    <pivotField showAll="0"/>
    <pivotField showAll="0"/>
    <pivotField numFmtId="1" showAll="0"/>
    <pivotField dataField="1" numFmtId="2" showAll="0"/>
    <pivotField numFmtId="10" showAll="0"/>
    <pivotField numFmtId="4" showAll="0"/>
    <pivotField showAll="0"/>
    <pivotField showAll="0"/>
    <pivotField axis="axisRow" showAll="0" measureFilter="1" sortType="descending">
      <items count="21">
        <item x="12"/>
        <item x="5"/>
        <item x="13"/>
        <item x="6"/>
        <item x="3"/>
        <item x="4"/>
        <item x="16"/>
        <item x="7"/>
        <item x="18"/>
        <item x="14"/>
        <item x="9"/>
        <item x="10"/>
        <item x="0"/>
        <item x="11"/>
        <item x="8"/>
        <item x="19"/>
        <item x="17"/>
        <item x="2"/>
        <item x="15"/>
        <item x="1"/>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11">
    <i>
      <x v="1"/>
    </i>
    <i>
      <x v="4"/>
    </i>
    <i>
      <x v="6"/>
    </i>
    <i>
      <x v="7"/>
    </i>
    <i>
      <x v="9"/>
    </i>
    <i>
      <x v="10"/>
    </i>
    <i>
      <x v="11"/>
    </i>
    <i>
      <x v="13"/>
    </i>
    <i>
      <x v="14"/>
    </i>
    <i>
      <x v="18"/>
    </i>
    <i t="grand">
      <x/>
    </i>
  </rowItems>
  <colItems count="1">
    <i/>
  </colItems>
  <dataFields count="1">
    <dataField name="Sum of Sales" fld="7" baseField="0" baseItem="0" numFmtId="2"/>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AAFDD4-A3B5-4FB7-9069-E83FC9DF2D2C}"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4" firstHeaderRow="1" firstDataRow="1" firstDataCol="1"/>
  <pivotFields count="16">
    <pivotField showAll="0"/>
    <pivotField showAll="0">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showAll="0">
      <items count="8">
        <item x="3"/>
        <item x="6"/>
        <item x="1"/>
        <item x="2"/>
        <item x="5"/>
        <item x="0"/>
        <item x="4"/>
        <item t="default"/>
      </items>
    </pivotField>
    <pivotField showAll="0"/>
    <pivotField axis="axisRow" showAll="0" measureFilter="1" sortType="descending">
      <items count="38">
        <item x="17"/>
        <item x="26"/>
        <item x="35"/>
        <item x="1"/>
        <item x="28"/>
        <item x="31"/>
        <item x="29"/>
        <item x="22"/>
        <item x="7"/>
        <item x="20"/>
        <item x="33"/>
        <item x="13"/>
        <item x="18"/>
        <item x="32"/>
        <item x="14"/>
        <item x="36"/>
        <item x="0"/>
        <item x="24"/>
        <item x="25"/>
        <item x="6"/>
        <item x="8"/>
        <item x="2"/>
        <item x="30"/>
        <item x="34"/>
        <item x="3"/>
        <item x="23"/>
        <item x="12"/>
        <item x="16"/>
        <item x="5"/>
        <item x="4"/>
        <item x="19"/>
        <item x="10"/>
        <item x="11"/>
        <item x="21"/>
        <item x="27"/>
        <item x="9"/>
        <item x="15"/>
        <item t="default"/>
      </items>
    </pivotField>
    <pivotField numFmtId="1" showAll="0"/>
    <pivotField dataField="1" numFmtId="2" showAll="0"/>
    <pivotField numFmtId="10" showAll="0"/>
    <pivotField numFmtId="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11">
    <i>
      <x v="3"/>
    </i>
    <i>
      <x v="5"/>
    </i>
    <i>
      <x v="7"/>
    </i>
    <i>
      <x v="8"/>
    </i>
    <i>
      <x v="13"/>
    </i>
    <i>
      <x v="18"/>
    </i>
    <i>
      <x v="25"/>
    </i>
    <i>
      <x v="31"/>
    </i>
    <i>
      <x v="34"/>
    </i>
    <i>
      <x v="36"/>
    </i>
    <i t="grand">
      <x/>
    </i>
  </rowItems>
  <colItems count="1">
    <i/>
  </colItems>
  <dataFields count="1">
    <dataField name="Sum of Sales" fld="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F11AC-3A75-400F-80AA-D23FFCC15BC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1" firstHeaderRow="1" firstDataRow="1" firstDataCol="1"/>
  <pivotFields count="16">
    <pivotField showAll="0"/>
    <pivotField showAll="0">
      <items count="339">
        <item x="281"/>
        <item x="296"/>
        <item x="138"/>
        <item x="66"/>
        <item x="63"/>
        <item x="119"/>
        <item x="108"/>
        <item x="268"/>
        <item x="290"/>
        <item x="127"/>
        <item x="13"/>
        <item x="282"/>
        <item x="64"/>
        <item x="202"/>
        <item x="167"/>
        <item x="46"/>
        <item x="135"/>
        <item x="298"/>
        <item x="2"/>
        <item x="199"/>
        <item x="299"/>
        <item x="220"/>
        <item x="258"/>
        <item x="272"/>
        <item x="163"/>
        <item x="262"/>
        <item x="68"/>
        <item x="217"/>
        <item x="328"/>
        <item x="333"/>
        <item x="129"/>
        <item x="30"/>
        <item x="23"/>
        <item x="223"/>
        <item x="116"/>
        <item x="109"/>
        <item x="93"/>
        <item x="197"/>
        <item x="177"/>
        <item x="284"/>
        <item x="236"/>
        <item x="120"/>
        <item x="179"/>
        <item x="10"/>
        <item x="330"/>
        <item x="233"/>
        <item x="325"/>
        <item x="18"/>
        <item x="49"/>
        <item x="84"/>
        <item x="274"/>
        <item x="285"/>
        <item x="28"/>
        <item x="271"/>
        <item x="181"/>
        <item x="98"/>
        <item x="69"/>
        <item x="12"/>
        <item x="234"/>
        <item x="158"/>
        <item x="301"/>
        <item x="77"/>
        <item x="208"/>
        <item x="44"/>
        <item x="231"/>
        <item x="238"/>
        <item x="121"/>
        <item x="302"/>
        <item x="112"/>
        <item x="55"/>
        <item x="139"/>
        <item x="252"/>
        <item x="148"/>
        <item x="115"/>
        <item x="48"/>
        <item x="334"/>
        <item x="142"/>
        <item x="53"/>
        <item x="332"/>
        <item x="261"/>
        <item x="88"/>
        <item x="316"/>
        <item x="75"/>
        <item x="270"/>
        <item x="245"/>
        <item x="228"/>
        <item x="250"/>
        <item x="36"/>
        <item x="27"/>
        <item x="241"/>
        <item x="219"/>
        <item x="94"/>
        <item x="52"/>
        <item x="308"/>
        <item x="32"/>
        <item x="314"/>
        <item x="156"/>
        <item x="168"/>
        <item x="275"/>
        <item x="124"/>
        <item x="143"/>
        <item x="101"/>
        <item x="215"/>
        <item x="286"/>
        <item x="58"/>
        <item x="169"/>
        <item x="17"/>
        <item x="331"/>
        <item x="305"/>
        <item x="24"/>
        <item x="34"/>
        <item x="146"/>
        <item x="51"/>
        <item x="161"/>
        <item x="79"/>
        <item x="149"/>
        <item x="276"/>
        <item x="21"/>
        <item x="253"/>
        <item x="72"/>
        <item x="279"/>
        <item x="244"/>
        <item x="82"/>
        <item x="204"/>
        <item x="205"/>
        <item x="50"/>
        <item x="173"/>
        <item x="57"/>
        <item x="315"/>
        <item x="201"/>
        <item x="81"/>
        <item x="176"/>
        <item x="289"/>
        <item x="329"/>
        <item x="65"/>
        <item x="294"/>
        <item x="186"/>
        <item x="20"/>
        <item x="256"/>
        <item x="67"/>
        <item x="137"/>
        <item x="1"/>
        <item x="76"/>
        <item x="86"/>
        <item x="59"/>
        <item x="235"/>
        <item x="78"/>
        <item x="91"/>
        <item x="254"/>
        <item x="147"/>
        <item x="224"/>
        <item x="25"/>
        <item x="198"/>
        <item x="247"/>
        <item x="283"/>
        <item x="178"/>
        <item x="165"/>
        <item x="266"/>
        <item x="133"/>
        <item x="26"/>
        <item x="264"/>
        <item x="222"/>
        <item x="106"/>
        <item x="157"/>
        <item x="38"/>
        <item x="251"/>
        <item x="216"/>
        <item x="85"/>
        <item x="42"/>
        <item x="312"/>
        <item x="292"/>
        <item x="287"/>
        <item x="327"/>
        <item x="159"/>
        <item x="269"/>
        <item x="267"/>
        <item x="6"/>
        <item x="41"/>
        <item x="103"/>
        <item x="218"/>
        <item x="206"/>
        <item x="40"/>
        <item x="249"/>
        <item x="104"/>
        <item x="291"/>
        <item x="246"/>
        <item x="187"/>
        <item x="123"/>
        <item x="324"/>
        <item x="304"/>
        <item x="309"/>
        <item x="5"/>
        <item x="230"/>
        <item x="7"/>
        <item x="209"/>
        <item x="193"/>
        <item x="240"/>
        <item x="70"/>
        <item x="200"/>
        <item x="62"/>
        <item x="277"/>
        <item x="107"/>
        <item x="255"/>
        <item x="260"/>
        <item x="140"/>
        <item x="227"/>
        <item x="87"/>
        <item x="45"/>
        <item x="111"/>
        <item x="311"/>
        <item x="151"/>
        <item x="97"/>
        <item x="211"/>
        <item x="74"/>
        <item x="319"/>
        <item x="297"/>
        <item x="96"/>
        <item x="160"/>
        <item x="237"/>
        <item x="295"/>
        <item x="336"/>
        <item x="154"/>
        <item x="320"/>
        <item x="131"/>
        <item x="113"/>
        <item x="257"/>
        <item x="3"/>
        <item x="141"/>
        <item x="92"/>
        <item x="184"/>
        <item x="221"/>
        <item x="56"/>
        <item x="185"/>
        <item x="22"/>
        <item x="39"/>
        <item x="288"/>
        <item x="303"/>
        <item x="164"/>
        <item x="11"/>
        <item x="166"/>
        <item x="15"/>
        <item x="170"/>
        <item x="248"/>
        <item x="4"/>
        <item x="280"/>
        <item x="122"/>
        <item x="99"/>
        <item x="110"/>
        <item x="114"/>
        <item x="243"/>
        <item x="35"/>
        <item x="100"/>
        <item x="213"/>
        <item x="144"/>
        <item x="136"/>
        <item x="182"/>
        <item x="307"/>
        <item x="321"/>
        <item x="313"/>
        <item x="118"/>
        <item x="61"/>
        <item x="189"/>
        <item x="162"/>
        <item x="196"/>
        <item x="14"/>
        <item x="155"/>
        <item x="54"/>
        <item x="9"/>
        <item x="317"/>
        <item x="310"/>
        <item x="80"/>
        <item x="90"/>
        <item x="195"/>
        <item x="130"/>
        <item x="239"/>
        <item x="83"/>
        <item x="335"/>
        <item x="29"/>
        <item x="150"/>
        <item x="175"/>
        <item x="89"/>
        <item x="232"/>
        <item x="134"/>
        <item x="259"/>
        <item x="306"/>
        <item x="188"/>
        <item x="128"/>
        <item x="95"/>
        <item x="33"/>
        <item x="145"/>
        <item x="105"/>
        <item x="126"/>
        <item x="16"/>
        <item x="153"/>
        <item x="132"/>
        <item x="171"/>
        <item x="210"/>
        <item x="318"/>
        <item x="31"/>
        <item x="212"/>
        <item x="191"/>
        <item x="19"/>
        <item x="60"/>
        <item x="263"/>
        <item x="125"/>
        <item x="293"/>
        <item x="323"/>
        <item x="152"/>
        <item x="192"/>
        <item x="71"/>
        <item x="73"/>
        <item x="300"/>
        <item x="37"/>
        <item x="117"/>
        <item x="183"/>
        <item x="242"/>
        <item x="203"/>
        <item x="326"/>
        <item x="43"/>
        <item x="265"/>
        <item x="278"/>
        <item x="8"/>
        <item x="229"/>
        <item x="47"/>
        <item x="0"/>
        <item x="172"/>
        <item x="322"/>
        <item x="273"/>
        <item x="337"/>
        <item x="214"/>
        <item x="174"/>
        <item x="194"/>
        <item x="102"/>
        <item x="226"/>
        <item x="207"/>
        <item x="190"/>
        <item x="225"/>
        <item x="180"/>
        <item t="default"/>
      </items>
    </pivotField>
    <pivotField showAll="0"/>
    <pivotField axis="axisRow" showAll="0">
      <items count="8">
        <item x="3"/>
        <item x="6"/>
        <item x="1"/>
        <item x="2"/>
        <item x="5"/>
        <item x="0"/>
        <item x="4"/>
        <item t="default"/>
      </items>
    </pivotField>
    <pivotField showAll="0"/>
    <pivotField showAll="0"/>
    <pivotField numFmtId="1" showAll="0"/>
    <pivotField numFmtId="2" showAll="0"/>
    <pivotField numFmtId="10" showAll="0"/>
    <pivotField dataField="1" numFmtId="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Profit" fld="9" baseField="0" baseItem="0" numFmtId="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CC31CC-591E-4B1E-856F-0594F2F222EA}" sourceName="Category">
  <pivotTables>
    <pivotTable tabId="5" name="PivotTable1"/>
    <pivotTable tabId="5" name="PivotTable4"/>
    <pivotTable tabId="5" name="PivotTable6"/>
    <pivotTable tabId="5" name="PivotTable7"/>
    <pivotTable tabId="5" name="PivotTable8"/>
    <pivotTable tabId="5" name="PivotTable9"/>
  </pivotTables>
  <data>
    <tabular pivotCacheId="1420883690">
      <items count="7">
        <i x="3" s="1"/>
        <i x="6" s="1"/>
        <i x="1" s="1"/>
        <i x="2" s="1"/>
        <i x="5"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0E5976-9C2E-409B-9DD5-85AAF08D1B73}" cache="Slicer_Category" caption="Category" columnCount="7"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P5" sqref="P5"/>
    </sheetView>
  </sheetViews>
  <sheetFormatPr defaultRowHeight="14.4" x14ac:dyDescent="0.3"/>
  <cols>
    <col min="1" max="1" width="10.6640625" style="2" bestFit="1" customWidth="1"/>
    <col min="2" max="2" width="15.109375" style="2" bestFit="1" customWidth="1"/>
    <col min="3" max="3" width="15.21875" bestFit="1" customWidth="1"/>
    <col min="4" max="4" width="14.21875" bestFit="1" customWidth="1"/>
    <col min="5" max="6" width="17.44140625" bestFit="1" customWidth="1"/>
    <col min="7" max="7" width="8.33203125" style="6" bestFit="1" customWidth="1"/>
    <col min="8" max="8" width="9.5546875" style="3" bestFit="1" customWidth="1"/>
    <col min="9" max="9" width="8.33203125" style="5" bestFit="1" customWidth="1"/>
    <col min="10" max="10" width="10.44140625" style="4" bestFit="1" customWidth="1"/>
    <col min="11" max="11" width="14.6640625" bestFit="1" customWidth="1"/>
    <col min="12" max="12" width="14.5546875" bestFit="1" customWidth="1"/>
    <col min="13" max="13" width="12" bestFit="1" customWidth="1"/>
    <col min="14" max="14" width="6.77734375" bestFit="1" customWidth="1"/>
    <col min="15" max="15" width="14.33203125" bestFit="1" customWidth="1"/>
  </cols>
  <sheetData>
    <row r="1" spans="1:15" x14ac:dyDescent="0.3">
      <c r="A1" s="8" t="s">
        <v>0</v>
      </c>
      <c r="B1" s="8" t="s">
        <v>1</v>
      </c>
      <c r="C1" s="7" t="s">
        <v>2</v>
      </c>
      <c r="D1" s="7" t="s">
        <v>3</v>
      </c>
      <c r="E1" s="7" t="s">
        <v>4</v>
      </c>
      <c r="F1" s="7" t="s">
        <v>5</v>
      </c>
      <c r="G1" s="9" t="s">
        <v>6</v>
      </c>
      <c r="H1" s="10" t="s">
        <v>7</v>
      </c>
      <c r="I1" s="11" t="s">
        <v>8</v>
      </c>
      <c r="J1" s="12" t="s">
        <v>9</v>
      </c>
      <c r="K1" s="7" t="s">
        <v>10</v>
      </c>
      <c r="L1" s="7" t="s">
        <v>11</v>
      </c>
      <c r="M1" s="7" t="s">
        <v>12</v>
      </c>
      <c r="N1" s="7" t="s">
        <v>13</v>
      </c>
      <c r="O1" s="7" t="s">
        <v>14</v>
      </c>
    </row>
    <row r="2" spans="1:15" x14ac:dyDescent="0.3">
      <c r="A2" s="2" t="s">
        <v>1260</v>
      </c>
      <c r="B2" s="2">
        <v>46006</v>
      </c>
      <c r="C2" t="s">
        <v>124</v>
      </c>
      <c r="D2" t="s">
        <v>34</v>
      </c>
      <c r="E2" t="s">
        <v>107</v>
      </c>
      <c r="F2" t="s">
        <v>107</v>
      </c>
      <c r="G2" s="6">
        <v>3</v>
      </c>
      <c r="H2" s="3">
        <v>12150</v>
      </c>
      <c r="I2" s="5">
        <v>0.1</v>
      </c>
      <c r="J2" s="4">
        <v>1676.37</v>
      </c>
      <c r="K2" t="s">
        <v>49</v>
      </c>
      <c r="L2" t="s">
        <v>159</v>
      </c>
      <c r="M2" t="s">
        <v>160</v>
      </c>
      <c r="N2" t="s">
        <v>38</v>
      </c>
      <c r="O2" t="s">
        <v>44</v>
      </c>
    </row>
    <row r="3" spans="1:15" x14ac:dyDescent="0.3">
      <c r="A3" s="2" t="s">
        <v>702</v>
      </c>
      <c r="B3" s="2">
        <v>45809</v>
      </c>
      <c r="C3" t="s">
        <v>319</v>
      </c>
      <c r="D3" t="s">
        <v>47</v>
      </c>
      <c r="E3" t="s">
        <v>74</v>
      </c>
      <c r="F3" t="s">
        <v>74</v>
      </c>
      <c r="G3" s="6">
        <v>2</v>
      </c>
      <c r="H3" s="3">
        <v>32400</v>
      </c>
      <c r="I3" s="5">
        <v>0.1</v>
      </c>
      <c r="J3" s="4">
        <v>3434.79</v>
      </c>
      <c r="K3" t="s">
        <v>75</v>
      </c>
      <c r="L3" t="s">
        <v>60</v>
      </c>
      <c r="M3" t="s">
        <v>61</v>
      </c>
      <c r="N3" t="s">
        <v>38</v>
      </c>
      <c r="O3" t="s">
        <v>23</v>
      </c>
    </row>
    <row r="4" spans="1:15" x14ac:dyDescent="0.3">
      <c r="A4" s="2" t="s">
        <v>191</v>
      </c>
      <c r="B4" s="2">
        <v>45679</v>
      </c>
      <c r="C4" t="s">
        <v>192</v>
      </c>
      <c r="D4" t="s">
        <v>26</v>
      </c>
      <c r="E4" t="s">
        <v>133</v>
      </c>
      <c r="F4" t="s">
        <v>133</v>
      </c>
      <c r="G4" s="6">
        <v>1</v>
      </c>
      <c r="H4" s="3">
        <v>2492</v>
      </c>
      <c r="I4" s="5">
        <v>0.11</v>
      </c>
      <c r="J4" s="4">
        <v>461.23</v>
      </c>
      <c r="K4" t="s">
        <v>19</v>
      </c>
      <c r="L4" t="s">
        <v>121</v>
      </c>
      <c r="M4" t="s">
        <v>122</v>
      </c>
      <c r="N4" t="s">
        <v>55</v>
      </c>
      <c r="O4" t="s">
        <v>44</v>
      </c>
    </row>
    <row r="5" spans="1:15" x14ac:dyDescent="0.3">
      <c r="A5" s="2" t="s">
        <v>970</v>
      </c>
      <c r="B5" s="2">
        <v>45901</v>
      </c>
      <c r="C5" t="s">
        <v>229</v>
      </c>
      <c r="D5" t="s">
        <v>47</v>
      </c>
      <c r="E5" t="s">
        <v>74</v>
      </c>
      <c r="F5" t="s">
        <v>74</v>
      </c>
      <c r="G5" s="6">
        <v>2</v>
      </c>
      <c r="H5" s="3">
        <v>33840</v>
      </c>
      <c r="I5" s="5">
        <v>0.06</v>
      </c>
      <c r="J5" s="4">
        <v>4040.24</v>
      </c>
      <c r="K5" t="s">
        <v>75</v>
      </c>
      <c r="L5" t="s">
        <v>29</v>
      </c>
      <c r="M5" t="s">
        <v>30</v>
      </c>
      <c r="N5" t="s">
        <v>31</v>
      </c>
      <c r="O5" t="s">
        <v>23</v>
      </c>
    </row>
    <row r="6" spans="1:15" x14ac:dyDescent="0.3">
      <c r="A6" s="2" t="s">
        <v>1020</v>
      </c>
      <c r="B6" s="2">
        <v>45922</v>
      </c>
      <c r="C6" t="s">
        <v>203</v>
      </c>
      <c r="D6" t="s">
        <v>58</v>
      </c>
      <c r="E6" t="s">
        <v>59</v>
      </c>
      <c r="F6" t="s">
        <v>59</v>
      </c>
      <c r="G6" s="6">
        <v>2</v>
      </c>
      <c r="H6" s="3">
        <v>747</v>
      </c>
      <c r="I6" s="5">
        <v>0.17</v>
      </c>
      <c r="J6" s="4">
        <v>119.92</v>
      </c>
      <c r="K6" t="s">
        <v>65</v>
      </c>
      <c r="L6" t="s">
        <v>29</v>
      </c>
      <c r="M6" t="s">
        <v>30</v>
      </c>
      <c r="N6" t="s">
        <v>31</v>
      </c>
      <c r="O6" t="s">
        <v>23</v>
      </c>
    </row>
    <row r="7" spans="1:15" x14ac:dyDescent="0.3">
      <c r="A7" s="2" t="s">
        <v>854</v>
      </c>
      <c r="B7" s="2">
        <v>45863</v>
      </c>
      <c r="C7" t="s">
        <v>218</v>
      </c>
      <c r="D7" t="s">
        <v>34</v>
      </c>
      <c r="E7" t="s">
        <v>41</v>
      </c>
      <c r="F7" t="s">
        <v>41</v>
      </c>
      <c r="G7" s="6">
        <v>2</v>
      </c>
      <c r="H7" s="3">
        <v>8500</v>
      </c>
      <c r="I7" s="5">
        <v>0.15</v>
      </c>
      <c r="J7" s="4">
        <v>1040.3</v>
      </c>
      <c r="K7" t="s">
        <v>19</v>
      </c>
      <c r="L7" t="s">
        <v>60</v>
      </c>
      <c r="M7" t="s">
        <v>61</v>
      </c>
      <c r="N7" t="s">
        <v>38</v>
      </c>
      <c r="O7" t="s">
        <v>23</v>
      </c>
    </row>
    <row r="8" spans="1:15" x14ac:dyDescent="0.3">
      <c r="A8" s="2" t="s">
        <v>812</v>
      </c>
      <c r="B8" s="2">
        <v>45848</v>
      </c>
      <c r="C8" t="s">
        <v>779</v>
      </c>
      <c r="D8" t="s">
        <v>34</v>
      </c>
      <c r="E8" t="s">
        <v>302</v>
      </c>
      <c r="F8" t="s">
        <v>302</v>
      </c>
      <c r="G8" s="6">
        <v>5</v>
      </c>
      <c r="H8" s="3">
        <v>16100</v>
      </c>
      <c r="I8" s="5">
        <v>0.08</v>
      </c>
      <c r="J8" s="4">
        <v>1994.83</v>
      </c>
      <c r="K8" t="s">
        <v>19</v>
      </c>
      <c r="L8" t="s">
        <v>149</v>
      </c>
      <c r="M8" t="s">
        <v>150</v>
      </c>
      <c r="N8" t="s">
        <v>38</v>
      </c>
      <c r="O8" t="s">
        <v>23</v>
      </c>
    </row>
    <row r="9" spans="1:15" x14ac:dyDescent="0.3">
      <c r="A9" s="2" t="s">
        <v>858</v>
      </c>
      <c r="B9" s="2">
        <v>45865</v>
      </c>
      <c r="C9" t="s">
        <v>355</v>
      </c>
      <c r="D9" t="s">
        <v>34</v>
      </c>
      <c r="E9" t="s">
        <v>302</v>
      </c>
      <c r="F9" t="s">
        <v>302</v>
      </c>
      <c r="G9" s="6">
        <v>2</v>
      </c>
      <c r="H9" s="3">
        <v>5740</v>
      </c>
      <c r="I9" s="5">
        <v>0.18</v>
      </c>
      <c r="J9" s="4">
        <v>873.33</v>
      </c>
      <c r="K9" t="s">
        <v>52</v>
      </c>
      <c r="L9" t="s">
        <v>20</v>
      </c>
      <c r="M9" t="s">
        <v>21</v>
      </c>
      <c r="N9" t="s">
        <v>22</v>
      </c>
      <c r="O9" t="s">
        <v>23</v>
      </c>
    </row>
    <row r="10" spans="1:15" x14ac:dyDescent="0.3">
      <c r="A10" s="2" t="s">
        <v>1252</v>
      </c>
      <c r="B10" s="2">
        <v>46002</v>
      </c>
      <c r="C10" t="s">
        <v>437</v>
      </c>
      <c r="D10" t="s">
        <v>47</v>
      </c>
      <c r="E10" t="s">
        <v>368</v>
      </c>
      <c r="F10" t="s">
        <v>368</v>
      </c>
      <c r="G10" s="6">
        <v>4</v>
      </c>
      <c r="H10" s="3">
        <v>6192</v>
      </c>
      <c r="I10" s="5">
        <v>0.14000000000000001</v>
      </c>
      <c r="J10" s="4">
        <v>899.65</v>
      </c>
      <c r="K10" t="s">
        <v>49</v>
      </c>
      <c r="L10" t="s">
        <v>97</v>
      </c>
      <c r="M10" t="s">
        <v>98</v>
      </c>
      <c r="N10" t="s">
        <v>31</v>
      </c>
      <c r="O10" t="s">
        <v>44</v>
      </c>
    </row>
    <row r="11" spans="1:15" x14ac:dyDescent="0.3">
      <c r="A11" s="2" t="s">
        <v>1097</v>
      </c>
      <c r="B11" s="2">
        <v>45946</v>
      </c>
      <c r="C11" t="s">
        <v>218</v>
      </c>
      <c r="D11" t="s">
        <v>47</v>
      </c>
      <c r="E11" t="s">
        <v>224</v>
      </c>
      <c r="F11" t="s">
        <v>224</v>
      </c>
      <c r="G11" s="6">
        <v>5</v>
      </c>
      <c r="H11" s="3">
        <v>22500</v>
      </c>
      <c r="I11" s="5">
        <v>0.1</v>
      </c>
      <c r="J11" s="4">
        <v>2751.07</v>
      </c>
      <c r="K11" t="s">
        <v>52</v>
      </c>
      <c r="L11" t="s">
        <v>29</v>
      </c>
      <c r="M11" t="s">
        <v>30</v>
      </c>
      <c r="N11" t="s">
        <v>31</v>
      </c>
      <c r="O11" t="s">
        <v>23</v>
      </c>
    </row>
    <row r="12" spans="1:15" x14ac:dyDescent="0.3">
      <c r="A12" s="2" t="s">
        <v>315</v>
      </c>
      <c r="B12" s="2">
        <v>45705</v>
      </c>
      <c r="C12" t="s">
        <v>316</v>
      </c>
      <c r="D12" t="s">
        <v>26</v>
      </c>
      <c r="E12" t="s">
        <v>118</v>
      </c>
      <c r="F12" t="s">
        <v>118</v>
      </c>
      <c r="G12" s="6">
        <v>3</v>
      </c>
      <c r="H12" s="3">
        <v>4266</v>
      </c>
      <c r="I12" s="5">
        <v>0.21</v>
      </c>
      <c r="J12" s="4">
        <v>952.01</v>
      </c>
      <c r="K12" t="s">
        <v>52</v>
      </c>
      <c r="L12" t="s">
        <v>36</v>
      </c>
      <c r="M12" t="s">
        <v>101</v>
      </c>
      <c r="N12" t="s">
        <v>38</v>
      </c>
      <c r="O12" t="s">
        <v>44</v>
      </c>
    </row>
    <row r="13" spans="1:15" x14ac:dyDescent="0.3">
      <c r="A13" s="2" t="s">
        <v>1009</v>
      </c>
      <c r="B13" s="2">
        <v>45914</v>
      </c>
      <c r="C13" t="s">
        <v>301</v>
      </c>
      <c r="D13" t="s">
        <v>47</v>
      </c>
      <c r="E13" t="s">
        <v>224</v>
      </c>
      <c r="F13" t="s">
        <v>224</v>
      </c>
      <c r="G13" s="6">
        <v>5</v>
      </c>
      <c r="H13" s="3">
        <v>22500</v>
      </c>
      <c r="I13" s="5">
        <v>0.1</v>
      </c>
      <c r="J13" s="4">
        <v>2450.31</v>
      </c>
      <c r="K13" t="s">
        <v>75</v>
      </c>
      <c r="L13" t="s">
        <v>208</v>
      </c>
      <c r="M13" t="s">
        <v>209</v>
      </c>
      <c r="N13" t="s">
        <v>31</v>
      </c>
      <c r="O13" t="s">
        <v>23</v>
      </c>
    </row>
    <row r="14" spans="1:15" x14ac:dyDescent="0.3">
      <c r="A14" s="2" t="s">
        <v>381</v>
      </c>
      <c r="B14" s="2">
        <v>45720</v>
      </c>
      <c r="C14" t="s">
        <v>92</v>
      </c>
      <c r="D14" t="s">
        <v>95</v>
      </c>
      <c r="E14" t="s">
        <v>125</v>
      </c>
      <c r="F14" t="s">
        <v>125</v>
      </c>
      <c r="G14" s="6">
        <v>3</v>
      </c>
      <c r="H14" s="3">
        <v>4050</v>
      </c>
      <c r="I14" s="5">
        <v>0.25</v>
      </c>
      <c r="J14" s="4">
        <v>503.71</v>
      </c>
      <c r="K14" t="s">
        <v>19</v>
      </c>
      <c r="L14" t="s">
        <v>149</v>
      </c>
      <c r="M14" t="s">
        <v>150</v>
      </c>
      <c r="N14" t="s">
        <v>38</v>
      </c>
      <c r="O14" t="s">
        <v>23</v>
      </c>
    </row>
    <row r="15" spans="1:15" x14ac:dyDescent="0.3">
      <c r="A15" s="2" t="s">
        <v>123</v>
      </c>
      <c r="B15" s="2">
        <v>45670</v>
      </c>
      <c r="C15" t="s">
        <v>124</v>
      </c>
      <c r="D15" t="s">
        <v>95</v>
      </c>
      <c r="E15" t="s">
        <v>125</v>
      </c>
      <c r="F15" t="s">
        <v>125</v>
      </c>
      <c r="G15" s="6">
        <v>3</v>
      </c>
      <c r="H15" s="3">
        <v>4698</v>
      </c>
      <c r="I15" s="5">
        <v>0.13</v>
      </c>
      <c r="J15" s="4">
        <v>645.77</v>
      </c>
      <c r="K15" t="s">
        <v>75</v>
      </c>
      <c r="L15" t="s">
        <v>36</v>
      </c>
      <c r="M15" t="s">
        <v>37</v>
      </c>
      <c r="N15" t="s">
        <v>38</v>
      </c>
      <c r="O15" t="s">
        <v>23</v>
      </c>
    </row>
    <row r="16" spans="1:15" x14ac:dyDescent="0.3">
      <c r="A16" s="2" t="s">
        <v>1083</v>
      </c>
      <c r="B16" s="2">
        <v>45943</v>
      </c>
      <c r="C16" t="s">
        <v>556</v>
      </c>
      <c r="D16" t="s">
        <v>17</v>
      </c>
      <c r="E16" t="s">
        <v>90</v>
      </c>
      <c r="F16" t="s">
        <v>90</v>
      </c>
      <c r="G16" s="6">
        <v>5</v>
      </c>
      <c r="H16" s="3">
        <v>21000</v>
      </c>
      <c r="I16" s="5">
        <v>0.16</v>
      </c>
      <c r="J16" s="4">
        <v>1857.66</v>
      </c>
      <c r="K16" t="s">
        <v>52</v>
      </c>
      <c r="L16" t="s">
        <v>36</v>
      </c>
      <c r="M16" t="s">
        <v>128</v>
      </c>
      <c r="N16" t="s">
        <v>38</v>
      </c>
      <c r="O16" t="s">
        <v>44</v>
      </c>
    </row>
    <row r="17" spans="1:15" x14ac:dyDescent="0.3">
      <c r="A17" s="2" t="s">
        <v>1014</v>
      </c>
      <c r="B17" s="2">
        <v>45916</v>
      </c>
      <c r="C17" t="s">
        <v>483</v>
      </c>
      <c r="D17" t="s">
        <v>47</v>
      </c>
      <c r="E17" t="s">
        <v>82</v>
      </c>
      <c r="F17" t="s">
        <v>82</v>
      </c>
      <c r="G17" s="6">
        <v>3</v>
      </c>
      <c r="H17" s="3">
        <v>9555</v>
      </c>
      <c r="I17" s="5">
        <v>0.09</v>
      </c>
      <c r="J17" s="4">
        <v>1849.77</v>
      </c>
      <c r="K17" t="s">
        <v>49</v>
      </c>
      <c r="L17" t="s">
        <v>36</v>
      </c>
      <c r="M17" t="s">
        <v>128</v>
      </c>
      <c r="N17" t="s">
        <v>38</v>
      </c>
      <c r="O17" t="s">
        <v>23</v>
      </c>
    </row>
    <row r="18" spans="1:15" x14ac:dyDescent="0.3">
      <c r="A18" s="2" t="s">
        <v>1162</v>
      </c>
      <c r="B18" s="2">
        <v>45972</v>
      </c>
      <c r="C18" t="s">
        <v>663</v>
      </c>
      <c r="D18" t="s">
        <v>95</v>
      </c>
      <c r="E18" t="s">
        <v>125</v>
      </c>
      <c r="F18" t="s">
        <v>125</v>
      </c>
      <c r="G18" s="6">
        <v>3</v>
      </c>
      <c r="H18" s="3">
        <v>4698</v>
      </c>
      <c r="I18" s="5">
        <v>0.13</v>
      </c>
      <c r="J18" s="4">
        <v>869.59</v>
      </c>
      <c r="K18" t="s">
        <v>75</v>
      </c>
      <c r="L18" t="s">
        <v>134</v>
      </c>
      <c r="M18" t="s">
        <v>135</v>
      </c>
      <c r="N18" t="s">
        <v>55</v>
      </c>
      <c r="O18" t="s">
        <v>23</v>
      </c>
    </row>
    <row r="19" spans="1:15" x14ac:dyDescent="0.3">
      <c r="A19" s="2" t="s">
        <v>575</v>
      </c>
      <c r="B19" s="2">
        <v>45770</v>
      </c>
      <c r="C19" t="s">
        <v>229</v>
      </c>
      <c r="D19" t="s">
        <v>68</v>
      </c>
      <c r="E19" t="s">
        <v>153</v>
      </c>
      <c r="F19" t="s">
        <v>153</v>
      </c>
      <c r="G19" s="6">
        <v>1</v>
      </c>
      <c r="H19" s="3">
        <v>984</v>
      </c>
      <c r="I19" s="5">
        <v>0.18</v>
      </c>
      <c r="J19" s="4">
        <v>195.44</v>
      </c>
      <c r="K19" t="s">
        <v>52</v>
      </c>
      <c r="L19" t="s">
        <v>149</v>
      </c>
      <c r="M19" t="s">
        <v>175</v>
      </c>
      <c r="N19" t="s">
        <v>38</v>
      </c>
      <c r="O19" t="s">
        <v>44</v>
      </c>
    </row>
    <row r="20" spans="1:15" x14ac:dyDescent="0.3">
      <c r="A20" s="2" t="s">
        <v>326</v>
      </c>
      <c r="B20" s="2">
        <v>45710</v>
      </c>
      <c r="C20" t="s">
        <v>327</v>
      </c>
      <c r="D20" t="s">
        <v>58</v>
      </c>
      <c r="E20" t="s">
        <v>59</v>
      </c>
      <c r="F20" t="s">
        <v>59</v>
      </c>
      <c r="G20" s="6">
        <v>2</v>
      </c>
      <c r="H20" s="3">
        <v>693</v>
      </c>
      <c r="I20" s="5">
        <v>0.23</v>
      </c>
      <c r="J20" s="4">
        <v>104.82</v>
      </c>
      <c r="K20" t="s">
        <v>49</v>
      </c>
      <c r="L20" t="s">
        <v>97</v>
      </c>
      <c r="M20" t="s">
        <v>98</v>
      </c>
      <c r="N20" t="s">
        <v>31</v>
      </c>
      <c r="O20" t="s">
        <v>44</v>
      </c>
    </row>
    <row r="21" spans="1:15" x14ac:dyDescent="0.3">
      <c r="A21" s="2" t="s">
        <v>1186</v>
      </c>
      <c r="B21" s="2">
        <v>45982</v>
      </c>
      <c r="C21" t="s">
        <v>517</v>
      </c>
      <c r="D21" t="s">
        <v>68</v>
      </c>
      <c r="E21" t="s">
        <v>237</v>
      </c>
      <c r="F21" t="s">
        <v>237</v>
      </c>
      <c r="G21" s="6">
        <v>2</v>
      </c>
      <c r="H21" s="3">
        <v>1368</v>
      </c>
      <c r="I21" s="5">
        <v>0.24</v>
      </c>
      <c r="J21" s="4">
        <v>232.92</v>
      </c>
      <c r="K21" t="s">
        <v>52</v>
      </c>
      <c r="L21" t="s">
        <v>121</v>
      </c>
      <c r="M21" t="s">
        <v>122</v>
      </c>
      <c r="N21" t="s">
        <v>55</v>
      </c>
      <c r="O21" t="s">
        <v>44</v>
      </c>
    </row>
    <row r="22" spans="1:15" x14ac:dyDescent="0.3">
      <c r="A22" s="2" t="s">
        <v>681</v>
      </c>
      <c r="B22" s="2">
        <v>45805</v>
      </c>
      <c r="C22" t="s">
        <v>132</v>
      </c>
      <c r="D22" t="s">
        <v>68</v>
      </c>
      <c r="E22" t="s">
        <v>69</v>
      </c>
      <c r="F22" t="s">
        <v>69</v>
      </c>
      <c r="G22" s="6">
        <v>1</v>
      </c>
      <c r="H22" s="3">
        <v>365</v>
      </c>
      <c r="I22" s="5">
        <v>0.27</v>
      </c>
      <c r="J22" s="4">
        <v>78.53</v>
      </c>
      <c r="K22" t="s">
        <v>65</v>
      </c>
      <c r="L22" t="s">
        <v>86</v>
      </c>
      <c r="M22" t="s">
        <v>87</v>
      </c>
      <c r="N22" t="s">
        <v>38</v>
      </c>
      <c r="O22" t="s">
        <v>44</v>
      </c>
    </row>
    <row r="23" spans="1:15" x14ac:dyDescent="0.3">
      <c r="A23" s="2" t="s">
        <v>611</v>
      </c>
      <c r="B23" s="2">
        <v>45785</v>
      </c>
      <c r="C23" t="s">
        <v>280</v>
      </c>
      <c r="D23" t="s">
        <v>34</v>
      </c>
      <c r="E23" t="s">
        <v>302</v>
      </c>
      <c r="F23" t="s">
        <v>302</v>
      </c>
      <c r="G23" s="6">
        <v>3</v>
      </c>
      <c r="H23" s="3">
        <v>8925</v>
      </c>
      <c r="I23" s="5">
        <v>0.15</v>
      </c>
      <c r="J23" s="4">
        <v>1141.17</v>
      </c>
      <c r="K23" t="s">
        <v>19</v>
      </c>
      <c r="L23" t="s">
        <v>53</v>
      </c>
      <c r="M23" t="s">
        <v>54</v>
      </c>
      <c r="N23" t="s">
        <v>55</v>
      </c>
      <c r="O23" t="s">
        <v>23</v>
      </c>
    </row>
    <row r="24" spans="1:15" x14ac:dyDescent="0.3">
      <c r="A24" s="2" t="s">
        <v>995</v>
      </c>
      <c r="B24" s="2">
        <v>45909</v>
      </c>
      <c r="C24" t="s">
        <v>130</v>
      </c>
      <c r="D24" t="s">
        <v>34</v>
      </c>
      <c r="E24" t="s">
        <v>227</v>
      </c>
      <c r="F24" t="s">
        <v>227</v>
      </c>
      <c r="G24" s="6">
        <v>5</v>
      </c>
      <c r="H24" s="3">
        <v>28600</v>
      </c>
      <c r="I24" s="5">
        <v>0.12</v>
      </c>
      <c r="J24" s="4">
        <v>3702.11</v>
      </c>
      <c r="K24" t="s">
        <v>75</v>
      </c>
      <c r="L24" t="s">
        <v>134</v>
      </c>
      <c r="M24" t="s">
        <v>135</v>
      </c>
      <c r="N24" t="s">
        <v>55</v>
      </c>
      <c r="O24" t="s">
        <v>44</v>
      </c>
    </row>
    <row r="25" spans="1:15" x14ac:dyDescent="0.3">
      <c r="A25" s="2" t="s">
        <v>256</v>
      </c>
      <c r="B25" s="2">
        <v>45694</v>
      </c>
      <c r="C25" t="s">
        <v>257</v>
      </c>
      <c r="D25" t="s">
        <v>95</v>
      </c>
      <c r="E25" t="s">
        <v>125</v>
      </c>
      <c r="F25" t="s">
        <v>125</v>
      </c>
      <c r="G25" s="6">
        <v>3</v>
      </c>
      <c r="H25" s="3">
        <v>4752</v>
      </c>
      <c r="I25" s="5">
        <v>0.12</v>
      </c>
      <c r="J25" s="4">
        <v>555.92999999999995</v>
      </c>
      <c r="K25" t="s">
        <v>49</v>
      </c>
      <c r="L25" t="s">
        <v>121</v>
      </c>
      <c r="M25" t="s">
        <v>122</v>
      </c>
      <c r="N25" t="s">
        <v>55</v>
      </c>
      <c r="O25" t="s">
        <v>23</v>
      </c>
    </row>
    <row r="26" spans="1:15" x14ac:dyDescent="0.3">
      <c r="A26" s="2" t="s">
        <v>579</v>
      </c>
      <c r="B26" s="2">
        <v>45773</v>
      </c>
      <c r="C26" t="s">
        <v>280</v>
      </c>
      <c r="D26" t="s">
        <v>17</v>
      </c>
      <c r="E26" t="s">
        <v>90</v>
      </c>
      <c r="F26" t="s">
        <v>90</v>
      </c>
      <c r="G26" s="6">
        <v>1</v>
      </c>
      <c r="H26" s="3">
        <v>4100</v>
      </c>
      <c r="I26" s="5">
        <v>0.18</v>
      </c>
      <c r="J26" s="4">
        <v>377.78</v>
      </c>
      <c r="K26" t="s">
        <v>19</v>
      </c>
      <c r="L26" t="s">
        <v>53</v>
      </c>
      <c r="M26" t="s">
        <v>54</v>
      </c>
      <c r="N26" t="s">
        <v>55</v>
      </c>
      <c r="O26" t="s">
        <v>23</v>
      </c>
    </row>
    <row r="27" spans="1:15" x14ac:dyDescent="0.3">
      <c r="A27" s="2" t="s">
        <v>738</v>
      </c>
      <c r="B27" s="2">
        <v>45820</v>
      </c>
      <c r="C27" t="s">
        <v>233</v>
      </c>
      <c r="D27" t="s">
        <v>34</v>
      </c>
      <c r="E27" t="s">
        <v>227</v>
      </c>
      <c r="F27" t="s">
        <v>227</v>
      </c>
      <c r="G27" s="6">
        <v>4</v>
      </c>
      <c r="H27" s="3">
        <v>24180</v>
      </c>
      <c r="I27" s="5">
        <v>7.0000000000000007E-2</v>
      </c>
      <c r="J27" s="4">
        <v>2886.31</v>
      </c>
      <c r="K27" t="s">
        <v>49</v>
      </c>
      <c r="L27" t="s">
        <v>170</v>
      </c>
      <c r="M27" t="s">
        <v>171</v>
      </c>
      <c r="N27" t="s">
        <v>31</v>
      </c>
      <c r="O27" t="s">
        <v>44</v>
      </c>
    </row>
    <row r="28" spans="1:15" x14ac:dyDescent="0.3">
      <c r="A28" s="2" t="s">
        <v>189</v>
      </c>
      <c r="B28" s="2">
        <v>45679</v>
      </c>
      <c r="C28" t="s">
        <v>190</v>
      </c>
      <c r="D28" t="s">
        <v>95</v>
      </c>
      <c r="E28" t="s">
        <v>104</v>
      </c>
      <c r="F28" t="s">
        <v>104</v>
      </c>
      <c r="G28" s="6">
        <v>2</v>
      </c>
      <c r="H28" s="3">
        <v>6020</v>
      </c>
      <c r="I28" s="5">
        <v>0.14000000000000001</v>
      </c>
      <c r="J28" s="4">
        <v>965.21</v>
      </c>
      <c r="K28" t="s">
        <v>49</v>
      </c>
      <c r="L28" t="s">
        <v>170</v>
      </c>
      <c r="M28" t="s">
        <v>171</v>
      </c>
      <c r="N28" t="s">
        <v>31</v>
      </c>
      <c r="O28" t="s">
        <v>44</v>
      </c>
    </row>
    <row r="29" spans="1:15" x14ac:dyDescent="0.3">
      <c r="A29" s="2" t="s">
        <v>1079</v>
      </c>
      <c r="B29" s="2">
        <v>45943</v>
      </c>
      <c r="C29" t="s">
        <v>180</v>
      </c>
      <c r="D29" t="s">
        <v>95</v>
      </c>
      <c r="E29" t="s">
        <v>96</v>
      </c>
      <c r="F29" t="s">
        <v>96</v>
      </c>
      <c r="G29" s="6">
        <v>1</v>
      </c>
      <c r="H29" s="3">
        <v>702</v>
      </c>
      <c r="I29" s="5">
        <v>0.22</v>
      </c>
      <c r="J29" s="4">
        <v>111.32</v>
      </c>
      <c r="K29" t="s">
        <v>65</v>
      </c>
      <c r="L29" t="s">
        <v>159</v>
      </c>
      <c r="M29" t="s">
        <v>160</v>
      </c>
      <c r="N29" t="s">
        <v>38</v>
      </c>
      <c r="O29" t="s">
        <v>44</v>
      </c>
    </row>
    <row r="30" spans="1:15" x14ac:dyDescent="0.3">
      <c r="A30" s="2" t="s">
        <v>758</v>
      </c>
      <c r="B30" s="2">
        <v>45829</v>
      </c>
      <c r="C30" t="s">
        <v>441</v>
      </c>
      <c r="D30" t="s">
        <v>58</v>
      </c>
      <c r="E30" t="s">
        <v>77</v>
      </c>
      <c r="F30" t="s">
        <v>77</v>
      </c>
      <c r="G30" s="6">
        <v>2</v>
      </c>
      <c r="H30" s="3">
        <v>2988</v>
      </c>
      <c r="I30" s="5">
        <v>0.17</v>
      </c>
      <c r="J30" s="4">
        <v>605.55999999999995</v>
      </c>
      <c r="K30" t="s">
        <v>28</v>
      </c>
      <c r="L30" t="s">
        <v>149</v>
      </c>
      <c r="M30" t="s">
        <v>175</v>
      </c>
      <c r="N30" t="s">
        <v>38</v>
      </c>
      <c r="O30" t="s">
        <v>44</v>
      </c>
    </row>
    <row r="31" spans="1:15" x14ac:dyDescent="0.3">
      <c r="A31" s="2" t="s">
        <v>506</v>
      </c>
      <c r="B31" s="2">
        <v>45752</v>
      </c>
      <c r="C31" t="s">
        <v>507</v>
      </c>
      <c r="D31" t="s">
        <v>68</v>
      </c>
      <c r="E31" t="s">
        <v>120</v>
      </c>
      <c r="F31" t="s">
        <v>120</v>
      </c>
      <c r="G31" s="6">
        <v>1</v>
      </c>
      <c r="H31" s="3">
        <v>553</v>
      </c>
      <c r="I31" s="5">
        <v>0.21</v>
      </c>
      <c r="J31" s="4">
        <v>98.5</v>
      </c>
      <c r="K31" t="s">
        <v>49</v>
      </c>
      <c r="L31" t="s">
        <v>36</v>
      </c>
      <c r="M31" t="s">
        <v>128</v>
      </c>
      <c r="N31" t="s">
        <v>38</v>
      </c>
      <c r="O31" t="s">
        <v>23</v>
      </c>
    </row>
    <row r="32" spans="1:15" x14ac:dyDescent="0.3">
      <c r="A32" s="2" t="s">
        <v>362</v>
      </c>
      <c r="B32" s="2">
        <v>45715</v>
      </c>
      <c r="C32" t="s">
        <v>285</v>
      </c>
      <c r="D32" t="s">
        <v>47</v>
      </c>
      <c r="E32" t="s">
        <v>74</v>
      </c>
      <c r="F32" t="s">
        <v>74</v>
      </c>
      <c r="G32" s="6">
        <v>3</v>
      </c>
      <c r="H32" s="3">
        <v>50760</v>
      </c>
      <c r="I32" s="5">
        <v>0.06</v>
      </c>
      <c r="J32" s="4">
        <v>7347.01</v>
      </c>
      <c r="K32" t="s">
        <v>75</v>
      </c>
      <c r="L32" t="s">
        <v>97</v>
      </c>
      <c r="M32" t="s">
        <v>163</v>
      </c>
      <c r="N32" t="s">
        <v>31</v>
      </c>
      <c r="O32" t="s">
        <v>23</v>
      </c>
    </row>
    <row r="33" spans="1:15" x14ac:dyDescent="0.3">
      <c r="A33" s="2" t="s">
        <v>1118</v>
      </c>
      <c r="B33" s="2">
        <v>45956</v>
      </c>
      <c r="C33" t="s">
        <v>349</v>
      </c>
      <c r="D33" t="s">
        <v>58</v>
      </c>
      <c r="E33" t="s">
        <v>138</v>
      </c>
      <c r="F33" t="s">
        <v>138</v>
      </c>
      <c r="G33" s="6">
        <v>5</v>
      </c>
      <c r="H33" s="3">
        <v>9130</v>
      </c>
      <c r="I33" s="5">
        <v>0.17</v>
      </c>
      <c r="J33" s="4">
        <v>1578.07</v>
      </c>
      <c r="K33" t="s">
        <v>65</v>
      </c>
      <c r="L33" t="s">
        <v>20</v>
      </c>
      <c r="M33" t="s">
        <v>21</v>
      </c>
      <c r="N33" t="s">
        <v>22</v>
      </c>
      <c r="O33" t="s">
        <v>23</v>
      </c>
    </row>
    <row r="34" spans="1:15" x14ac:dyDescent="0.3">
      <c r="A34" s="2" t="s">
        <v>252</v>
      </c>
      <c r="B34" s="2">
        <v>45693</v>
      </c>
      <c r="C34" t="s">
        <v>253</v>
      </c>
      <c r="D34" t="s">
        <v>34</v>
      </c>
      <c r="E34" t="s">
        <v>35</v>
      </c>
      <c r="F34" t="s">
        <v>35</v>
      </c>
      <c r="G34" s="6">
        <v>1</v>
      </c>
      <c r="H34" s="3">
        <v>996</v>
      </c>
      <c r="I34" s="5">
        <v>0.17</v>
      </c>
      <c r="J34" s="4">
        <v>152.21</v>
      </c>
      <c r="K34" t="s">
        <v>65</v>
      </c>
      <c r="L34" t="s">
        <v>78</v>
      </c>
      <c r="M34" t="s">
        <v>79</v>
      </c>
      <c r="N34" t="s">
        <v>22</v>
      </c>
      <c r="O34" t="s">
        <v>44</v>
      </c>
    </row>
    <row r="35" spans="1:15" x14ac:dyDescent="0.3">
      <c r="A35" s="2" t="s">
        <v>1178</v>
      </c>
      <c r="B35" s="2">
        <v>45979</v>
      </c>
      <c r="C35" t="s">
        <v>201</v>
      </c>
      <c r="D35" t="s">
        <v>95</v>
      </c>
      <c r="E35" t="s">
        <v>125</v>
      </c>
      <c r="F35" t="s">
        <v>125</v>
      </c>
      <c r="G35" s="6">
        <v>3</v>
      </c>
      <c r="H35" s="3">
        <v>4752</v>
      </c>
      <c r="I35" s="5">
        <v>0.12</v>
      </c>
      <c r="J35" s="4">
        <v>855.52</v>
      </c>
      <c r="K35" t="s">
        <v>65</v>
      </c>
      <c r="L35" t="s">
        <v>134</v>
      </c>
      <c r="M35" t="s">
        <v>135</v>
      </c>
      <c r="N35" t="s">
        <v>55</v>
      </c>
      <c r="O35" t="s">
        <v>23</v>
      </c>
    </row>
    <row r="36" spans="1:15" x14ac:dyDescent="0.3">
      <c r="A36" s="2" t="s">
        <v>529</v>
      </c>
      <c r="B36" s="2">
        <v>45758</v>
      </c>
      <c r="C36" t="s">
        <v>398</v>
      </c>
      <c r="D36" t="s">
        <v>95</v>
      </c>
      <c r="E36" t="s">
        <v>96</v>
      </c>
      <c r="F36" t="s">
        <v>96</v>
      </c>
      <c r="G36" s="6">
        <v>3</v>
      </c>
      <c r="H36" s="3">
        <v>2241</v>
      </c>
      <c r="I36" s="5">
        <v>0.17</v>
      </c>
      <c r="J36" s="4">
        <v>441.45</v>
      </c>
      <c r="K36" t="s">
        <v>65</v>
      </c>
      <c r="L36" t="s">
        <v>149</v>
      </c>
      <c r="M36" t="s">
        <v>175</v>
      </c>
      <c r="N36" t="s">
        <v>38</v>
      </c>
      <c r="O36" t="s">
        <v>23</v>
      </c>
    </row>
    <row r="37" spans="1:15" x14ac:dyDescent="0.3">
      <c r="A37" s="2" t="s">
        <v>1150</v>
      </c>
      <c r="B37" s="2">
        <v>45968</v>
      </c>
      <c r="C37" t="s">
        <v>223</v>
      </c>
      <c r="D37" t="s">
        <v>34</v>
      </c>
      <c r="E37" t="s">
        <v>227</v>
      </c>
      <c r="F37" t="s">
        <v>227</v>
      </c>
      <c r="G37" s="6">
        <v>1</v>
      </c>
      <c r="H37" s="3">
        <v>6175</v>
      </c>
      <c r="I37" s="5">
        <v>0.05</v>
      </c>
      <c r="J37" s="4">
        <v>769.78</v>
      </c>
      <c r="K37" t="s">
        <v>49</v>
      </c>
      <c r="L37" t="s">
        <v>134</v>
      </c>
      <c r="M37" t="s">
        <v>135</v>
      </c>
      <c r="N37" t="s">
        <v>55</v>
      </c>
      <c r="O37" t="s">
        <v>23</v>
      </c>
    </row>
    <row r="38" spans="1:15" x14ac:dyDescent="0.3">
      <c r="A38" s="2" t="s">
        <v>584</v>
      </c>
      <c r="B38" s="2">
        <v>45774</v>
      </c>
      <c r="C38" t="s">
        <v>261</v>
      </c>
      <c r="D38" t="s">
        <v>26</v>
      </c>
      <c r="E38" t="s">
        <v>118</v>
      </c>
      <c r="F38" t="s">
        <v>118</v>
      </c>
      <c r="G38" s="6">
        <v>4</v>
      </c>
      <c r="H38" s="3">
        <v>5976</v>
      </c>
      <c r="I38" s="5">
        <v>0.17</v>
      </c>
      <c r="J38" s="4">
        <v>1099.17</v>
      </c>
      <c r="K38" t="s">
        <v>75</v>
      </c>
      <c r="L38" t="s">
        <v>36</v>
      </c>
      <c r="M38" t="s">
        <v>128</v>
      </c>
      <c r="N38" t="s">
        <v>38</v>
      </c>
      <c r="O38" t="s">
        <v>44</v>
      </c>
    </row>
    <row r="39" spans="1:15" x14ac:dyDescent="0.3">
      <c r="A39" s="2" t="s">
        <v>1041</v>
      </c>
      <c r="B39" s="2">
        <v>45929</v>
      </c>
      <c r="C39" t="s">
        <v>355</v>
      </c>
      <c r="D39" t="s">
        <v>47</v>
      </c>
      <c r="E39" t="s">
        <v>224</v>
      </c>
      <c r="F39" t="s">
        <v>224</v>
      </c>
      <c r="G39" s="6">
        <v>2</v>
      </c>
      <c r="H39" s="3">
        <v>9100</v>
      </c>
      <c r="I39" s="5">
        <v>0.09</v>
      </c>
      <c r="J39" s="4">
        <v>1235.0899999999999</v>
      </c>
      <c r="K39" t="s">
        <v>65</v>
      </c>
      <c r="L39" t="s">
        <v>78</v>
      </c>
      <c r="M39" t="s">
        <v>79</v>
      </c>
      <c r="N39" t="s">
        <v>22</v>
      </c>
      <c r="O39" t="s">
        <v>23</v>
      </c>
    </row>
    <row r="40" spans="1:15" x14ac:dyDescent="0.3">
      <c r="A40" s="2" t="s">
        <v>505</v>
      </c>
      <c r="B40" s="2">
        <v>45751</v>
      </c>
      <c r="C40" t="s">
        <v>437</v>
      </c>
      <c r="D40" t="s">
        <v>47</v>
      </c>
      <c r="E40" t="s">
        <v>224</v>
      </c>
      <c r="F40" t="s">
        <v>224</v>
      </c>
      <c r="G40" s="6">
        <v>5</v>
      </c>
      <c r="H40" s="3">
        <v>21250</v>
      </c>
      <c r="I40" s="5">
        <v>0.15</v>
      </c>
      <c r="J40" s="4">
        <v>3081.2</v>
      </c>
      <c r="K40" t="s">
        <v>52</v>
      </c>
      <c r="L40" t="s">
        <v>149</v>
      </c>
      <c r="M40" t="s">
        <v>150</v>
      </c>
      <c r="N40" t="s">
        <v>38</v>
      </c>
      <c r="O40" t="s">
        <v>23</v>
      </c>
    </row>
    <row r="41" spans="1:15" x14ac:dyDescent="0.3">
      <c r="A41" s="2" t="s">
        <v>1185</v>
      </c>
      <c r="B41" s="2">
        <v>45982</v>
      </c>
      <c r="C41" t="s">
        <v>285</v>
      </c>
      <c r="D41" t="s">
        <v>68</v>
      </c>
      <c r="E41" t="s">
        <v>69</v>
      </c>
      <c r="F41" t="s">
        <v>69</v>
      </c>
      <c r="G41" s="6">
        <v>1</v>
      </c>
      <c r="H41" s="3">
        <v>380</v>
      </c>
      <c r="I41" s="5">
        <v>0.24</v>
      </c>
      <c r="J41" s="4">
        <v>83.18</v>
      </c>
      <c r="K41" t="s">
        <v>28</v>
      </c>
      <c r="L41" t="s">
        <v>149</v>
      </c>
      <c r="M41" t="s">
        <v>175</v>
      </c>
      <c r="N41" t="s">
        <v>38</v>
      </c>
      <c r="O41" t="s">
        <v>23</v>
      </c>
    </row>
    <row r="42" spans="1:15" x14ac:dyDescent="0.3">
      <c r="A42" s="2" t="s">
        <v>1223</v>
      </c>
      <c r="B42" s="2">
        <v>45993</v>
      </c>
      <c r="C42" t="s">
        <v>67</v>
      </c>
      <c r="D42" t="s">
        <v>47</v>
      </c>
      <c r="E42" t="s">
        <v>48</v>
      </c>
      <c r="F42" t="s">
        <v>48</v>
      </c>
      <c r="G42" s="6">
        <v>1</v>
      </c>
      <c r="H42" s="3">
        <v>21750</v>
      </c>
      <c r="I42" s="5">
        <v>0.13</v>
      </c>
      <c r="J42" s="4">
        <v>2678.64</v>
      </c>
      <c r="K42" t="s">
        <v>65</v>
      </c>
      <c r="L42" t="s">
        <v>86</v>
      </c>
      <c r="M42" t="s">
        <v>87</v>
      </c>
      <c r="N42" t="s">
        <v>38</v>
      </c>
      <c r="O42" t="s">
        <v>23</v>
      </c>
    </row>
    <row r="43" spans="1:15" x14ac:dyDescent="0.3">
      <c r="A43" s="2" t="s">
        <v>776</v>
      </c>
      <c r="B43" s="2">
        <v>45836</v>
      </c>
      <c r="C43" t="s">
        <v>152</v>
      </c>
      <c r="D43" t="s">
        <v>68</v>
      </c>
      <c r="E43" t="s">
        <v>153</v>
      </c>
      <c r="F43" t="s">
        <v>153</v>
      </c>
      <c r="G43" s="6">
        <v>1</v>
      </c>
      <c r="H43" s="3">
        <v>960</v>
      </c>
      <c r="I43" s="5">
        <v>0.2</v>
      </c>
      <c r="J43" s="4">
        <v>207.86</v>
      </c>
      <c r="K43" t="s">
        <v>65</v>
      </c>
      <c r="L43" t="s">
        <v>97</v>
      </c>
      <c r="M43" t="s">
        <v>98</v>
      </c>
      <c r="N43" t="s">
        <v>31</v>
      </c>
      <c r="O43" t="s">
        <v>23</v>
      </c>
    </row>
    <row r="44" spans="1:15" x14ac:dyDescent="0.3">
      <c r="A44" s="2" t="s">
        <v>999</v>
      </c>
      <c r="B44" s="2">
        <v>45910</v>
      </c>
      <c r="C44" t="s">
        <v>247</v>
      </c>
      <c r="D44" t="s">
        <v>68</v>
      </c>
      <c r="E44" t="s">
        <v>120</v>
      </c>
      <c r="F44" t="s">
        <v>120</v>
      </c>
      <c r="G44" s="6">
        <v>3</v>
      </c>
      <c r="H44" s="3">
        <v>1659</v>
      </c>
      <c r="I44" s="5">
        <v>0.21</v>
      </c>
      <c r="J44" s="4">
        <v>294.76</v>
      </c>
      <c r="K44" t="s">
        <v>75</v>
      </c>
      <c r="L44" t="s">
        <v>97</v>
      </c>
      <c r="M44" t="s">
        <v>163</v>
      </c>
      <c r="N44" t="s">
        <v>31</v>
      </c>
      <c r="O44" t="s">
        <v>23</v>
      </c>
    </row>
    <row r="45" spans="1:15" x14ac:dyDescent="0.3">
      <c r="A45" s="2" t="s">
        <v>827</v>
      </c>
      <c r="B45" s="2">
        <v>45853</v>
      </c>
      <c r="C45" t="s">
        <v>828</v>
      </c>
      <c r="D45" t="s">
        <v>17</v>
      </c>
      <c r="E45" t="s">
        <v>90</v>
      </c>
      <c r="F45" t="s">
        <v>90</v>
      </c>
      <c r="G45" s="6">
        <v>3</v>
      </c>
      <c r="H45" s="3">
        <v>12000</v>
      </c>
      <c r="I45" s="5">
        <v>0.2</v>
      </c>
      <c r="J45" s="4">
        <v>1508.89</v>
      </c>
      <c r="K45" t="s">
        <v>75</v>
      </c>
      <c r="L45" t="s">
        <v>149</v>
      </c>
      <c r="M45" t="s">
        <v>150</v>
      </c>
      <c r="N45" t="s">
        <v>38</v>
      </c>
      <c r="O45" t="s">
        <v>23</v>
      </c>
    </row>
    <row r="46" spans="1:15" x14ac:dyDescent="0.3">
      <c r="A46" s="2" t="s">
        <v>815</v>
      </c>
      <c r="B46" s="2">
        <v>45849</v>
      </c>
      <c r="C46" t="s">
        <v>439</v>
      </c>
      <c r="D46" t="s">
        <v>68</v>
      </c>
      <c r="E46" t="s">
        <v>120</v>
      </c>
      <c r="F46" t="s">
        <v>120</v>
      </c>
      <c r="G46" s="6">
        <v>1</v>
      </c>
      <c r="H46" s="3">
        <v>560</v>
      </c>
      <c r="I46" s="5">
        <v>0.2</v>
      </c>
      <c r="J46" s="4">
        <v>111.76</v>
      </c>
      <c r="K46" t="s">
        <v>19</v>
      </c>
      <c r="L46" t="s">
        <v>134</v>
      </c>
      <c r="M46" t="s">
        <v>135</v>
      </c>
      <c r="N46" t="s">
        <v>55</v>
      </c>
      <c r="O46" t="s">
        <v>23</v>
      </c>
    </row>
    <row r="47" spans="1:15" x14ac:dyDescent="0.3">
      <c r="A47" s="2" t="s">
        <v>787</v>
      </c>
      <c r="B47" s="2">
        <v>45840</v>
      </c>
      <c r="C47" t="s">
        <v>333</v>
      </c>
      <c r="D47" t="s">
        <v>17</v>
      </c>
      <c r="E47" t="s">
        <v>158</v>
      </c>
      <c r="F47" t="s">
        <v>158</v>
      </c>
      <c r="G47" s="6">
        <v>3</v>
      </c>
      <c r="H47" s="3">
        <v>54780</v>
      </c>
      <c r="I47" s="5">
        <v>0.17</v>
      </c>
      <c r="J47" s="4">
        <v>6384.09</v>
      </c>
      <c r="K47" t="s">
        <v>52</v>
      </c>
      <c r="L47" t="s">
        <v>134</v>
      </c>
      <c r="M47" t="s">
        <v>135</v>
      </c>
      <c r="N47" t="s">
        <v>55</v>
      </c>
      <c r="O47" t="s">
        <v>23</v>
      </c>
    </row>
    <row r="48" spans="1:15" x14ac:dyDescent="0.3">
      <c r="A48" s="2" t="s">
        <v>1240</v>
      </c>
      <c r="B48" s="2">
        <v>45999</v>
      </c>
      <c r="C48" t="s">
        <v>167</v>
      </c>
      <c r="D48" t="s">
        <v>17</v>
      </c>
      <c r="E48" t="s">
        <v>158</v>
      </c>
      <c r="F48" t="s">
        <v>158</v>
      </c>
      <c r="G48" s="6">
        <v>1</v>
      </c>
      <c r="H48" s="3">
        <v>17820</v>
      </c>
      <c r="I48" s="5">
        <v>0.19</v>
      </c>
      <c r="J48" s="4">
        <v>1902.22</v>
      </c>
      <c r="K48" t="s">
        <v>49</v>
      </c>
      <c r="L48" t="s">
        <v>86</v>
      </c>
      <c r="M48" t="s">
        <v>87</v>
      </c>
      <c r="N48" t="s">
        <v>38</v>
      </c>
      <c r="O48" t="s">
        <v>23</v>
      </c>
    </row>
    <row r="49" spans="1:15" x14ac:dyDescent="0.3">
      <c r="A49" s="2" t="s">
        <v>409</v>
      </c>
      <c r="B49" s="2">
        <v>45726</v>
      </c>
      <c r="C49" t="s">
        <v>364</v>
      </c>
      <c r="D49" t="s">
        <v>68</v>
      </c>
      <c r="E49" t="s">
        <v>120</v>
      </c>
      <c r="F49" t="s">
        <v>120</v>
      </c>
      <c r="G49" s="6">
        <v>4</v>
      </c>
      <c r="H49" s="3">
        <v>2324</v>
      </c>
      <c r="I49" s="5">
        <v>0.17</v>
      </c>
      <c r="J49" s="4">
        <v>457.21</v>
      </c>
      <c r="K49" t="s">
        <v>52</v>
      </c>
      <c r="L49" t="s">
        <v>121</v>
      </c>
      <c r="M49" t="s">
        <v>122</v>
      </c>
      <c r="N49" t="s">
        <v>55</v>
      </c>
      <c r="O49" t="s">
        <v>23</v>
      </c>
    </row>
    <row r="50" spans="1:15" x14ac:dyDescent="0.3">
      <c r="A50" s="2" t="s">
        <v>914</v>
      </c>
      <c r="B50" s="2">
        <v>45880</v>
      </c>
      <c r="C50" t="s">
        <v>169</v>
      </c>
      <c r="D50" t="s">
        <v>47</v>
      </c>
      <c r="E50" t="s">
        <v>224</v>
      </c>
      <c r="F50" t="s">
        <v>224</v>
      </c>
      <c r="G50" s="6">
        <v>1</v>
      </c>
      <c r="H50" s="3">
        <v>4400</v>
      </c>
      <c r="I50" s="5">
        <v>0.12</v>
      </c>
      <c r="J50" s="4">
        <v>660.42</v>
      </c>
      <c r="K50" t="s">
        <v>65</v>
      </c>
      <c r="L50" t="s">
        <v>53</v>
      </c>
      <c r="M50" t="s">
        <v>54</v>
      </c>
      <c r="N50" t="s">
        <v>55</v>
      </c>
      <c r="O50" t="s">
        <v>44</v>
      </c>
    </row>
    <row r="51" spans="1:15" x14ac:dyDescent="0.3">
      <c r="A51" s="2" t="s">
        <v>1000</v>
      </c>
      <c r="B51" s="2">
        <v>45910</v>
      </c>
      <c r="C51" t="s">
        <v>169</v>
      </c>
      <c r="D51" t="s">
        <v>47</v>
      </c>
      <c r="E51" t="s">
        <v>368</v>
      </c>
      <c r="F51" t="s">
        <v>368</v>
      </c>
      <c r="G51" s="6">
        <v>3</v>
      </c>
      <c r="H51" s="3">
        <v>4644</v>
      </c>
      <c r="I51" s="5">
        <v>0.14000000000000001</v>
      </c>
      <c r="J51" s="4">
        <v>630.66</v>
      </c>
      <c r="K51" t="s">
        <v>19</v>
      </c>
      <c r="L51" t="s">
        <v>149</v>
      </c>
      <c r="M51" t="s">
        <v>175</v>
      </c>
      <c r="N51" t="s">
        <v>38</v>
      </c>
      <c r="O51" t="s">
        <v>44</v>
      </c>
    </row>
    <row r="52" spans="1:15" x14ac:dyDescent="0.3">
      <c r="A52" s="2" t="s">
        <v>1242</v>
      </c>
      <c r="B52" s="2">
        <v>45999</v>
      </c>
      <c r="C52" t="s">
        <v>865</v>
      </c>
      <c r="D52" t="s">
        <v>34</v>
      </c>
      <c r="E52" t="s">
        <v>41</v>
      </c>
      <c r="F52" t="s">
        <v>41</v>
      </c>
      <c r="G52" s="6">
        <v>3</v>
      </c>
      <c r="H52" s="3">
        <v>13500</v>
      </c>
      <c r="I52" s="5">
        <v>0.1</v>
      </c>
      <c r="J52" s="4">
        <v>1817.96</v>
      </c>
      <c r="K52" t="s">
        <v>19</v>
      </c>
      <c r="L52" t="s">
        <v>42</v>
      </c>
      <c r="M52" t="s">
        <v>43</v>
      </c>
      <c r="N52" t="s">
        <v>22</v>
      </c>
      <c r="O52" t="s">
        <v>44</v>
      </c>
    </row>
    <row r="53" spans="1:15" x14ac:dyDescent="0.3">
      <c r="A53" s="2" t="s">
        <v>168</v>
      </c>
      <c r="B53" s="2">
        <v>45676</v>
      </c>
      <c r="C53" t="s">
        <v>169</v>
      </c>
      <c r="D53" t="s">
        <v>47</v>
      </c>
      <c r="E53" t="s">
        <v>74</v>
      </c>
      <c r="F53" t="s">
        <v>74</v>
      </c>
      <c r="G53" s="6">
        <v>1</v>
      </c>
      <c r="H53" s="3">
        <v>16560</v>
      </c>
      <c r="I53" s="5">
        <v>0.08</v>
      </c>
      <c r="J53" s="4">
        <v>1801.65</v>
      </c>
      <c r="K53" t="s">
        <v>28</v>
      </c>
      <c r="L53" t="s">
        <v>170</v>
      </c>
      <c r="M53" t="s">
        <v>171</v>
      </c>
      <c r="N53" t="s">
        <v>31</v>
      </c>
      <c r="O53" t="s">
        <v>44</v>
      </c>
    </row>
    <row r="54" spans="1:15" x14ac:dyDescent="0.3">
      <c r="A54" s="2" t="s">
        <v>1258</v>
      </c>
      <c r="B54" s="2">
        <v>46005</v>
      </c>
      <c r="C54" t="s">
        <v>269</v>
      </c>
      <c r="D54" t="s">
        <v>26</v>
      </c>
      <c r="E54" t="s">
        <v>133</v>
      </c>
      <c r="F54" t="s">
        <v>133</v>
      </c>
      <c r="G54" s="6">
        <v>3</v>
      </c>
      <c r="H54" s="3">
        <v>7476</v>
      </c>
      <c r="I54" s="5">
        <v>0.11</v>
      </c>
      <c r="J54" s="4">
        <v>1484.5</v>
      </c>
      <c r="K54" t="s">
        <v>28</v>
      </c>
      <c r="L54" t="s">
        <v>42</v>
      </c>
      <c r="M54" t="s">
        <v>43</v>
      </c>
      <c r="N54" t="s">
        <v>22</v>
      </c>
      <c r="O54" t="s">
        <v>23</v>
      </c>
    </row>
    <row r="55" spans="1:15" x14ac:dyDescent="0.3">
      <c r="A55" s="2" t="s">
        <v>456</v>
      </c>
      <c r="B55" s="2">
        <v>45737</v>
      </c>
      <c r="C55" t="s">
        <v>364</v>
      </c>
      <c r="D55" t="s">
        <v>26</v>
      </c>
      <c r="E55" t="s">
        <v>64</v>
      </c>
      <c r="F55" t="s">
        <v>64</v>
      </c>
      <c r="G55" s="6">
        <v>2</v>
      </c>
      <c r="H55" s="3">
        <v>1350</v>
      </c>
      <c r="I55" s="5">
        <v>0.25</v>
      </c>
      <c r="J55" s="4">
        <v>234.01</v>
      </c>
      <c r="K55" t="s">
        <v>52</v>
      </c>
      <c r="L55" t="s">
        <v>53</v>
      </c>
      <c r="M55" t="s">
        <v>54</v>
      </c>
      <c r="N55" t="s">
        <v>55</v>
      </c>
      <c r="O55" t="s">
        <v>44</v>
      </c>
    </row>
    <row r="56" spans="1:15" x14ac:dyDescent="0.3">
      <c r="A56" s="2" t="s">
        <v>334</v>
      </c>
      <c r="B56" s="2">
        <v>45711</v>
      </c>
      <c r="C56" t="s">
        <v>335</v>
      </c>
      <c r="D56" t="s">
        <v>47</v>
      </c>
      <c r="E56" t="s">
        <v>74</v>
      </c>
      <c r="F56" t="s">
        <v>74</v>
      </c>
      <c r="G56" s="6">
        <v>3</v>
      </c>
      <c r="H56" s="3">
        <v>44280</v>
      </c>
      <c r="I56" s="5">
        <v>0.18</v>
      </c>
      <c r="J56" s="4">
        <v>3976.01</v>
      </c>
      <c r="K56" t="s">
        <v>75</v>
      </c>
      <c r="L56" t="s">
        <v>170</v>
      </c>
      <c r="M56" t="s">
        <v>171</v>
      </c>
      <c r="N56" t="s">
        <v>31</v>
      </c>
      <c r="O56" t="s">
        <v>23</v>
      </c>
    </row>
    <row r="57" spans="1:15" x14ac:dyDescent="0.3">
      <c r="A57" s="2" t="s">
        <v>643</v>
      </c>
      <c r="B57" s="2">
        <v>45793</v>
      </c>
      <c r="C57" t="s">
        <v>16</v>
      </c>
      <c r="D57" t="s">
        <v>58</v>
      </c>
      <c r="E57" t="s">
        <v>77</v>
      </c>
      <c r="F57" t="s">
        <v>77</v>
      </c>
      <c r="G57" s="6">
        <v>2</v>
      </c>
      <c r="H57" s="3">
        <v>2988</v>
      </c>
      <c r="I57" s="5">
        <v>0.17</v>
      </c>
      <c r="J57" s="4">
        <v>707.87</v>
      </c>
      <c r="K57" t="s">
        <v>28</v>
      </c>
      <c r="L57" t="s">
        <v>36</v>
      </c>
      <c r="M57" t="s">
        <v>128</v>
      </c>
      <c r="N57" t="s">
        <v>38</v>
      </c>
      <c r="O57" t="s">
        <v>23</v>
      </c>
    </row>
    <row r="58" spans="1:15" x14ac:dyDescent="0.3">
      <c r="A58" s="2" t="s">
        <v>998</v>
      </c>
      <c r="B58" s="2">
        <v>45910</v>
      </c>
      <c r="C58" t="s">
        <v>92</v>
      </c>
      <c r="D58" t="s">
        <v>47</v>
      </c>
      <c r="E58" t="s">
        <v>82</v>
      </c>
      <c r="F58" t="s">
        <v>82</v>
      </c>
      <c r="G58" s="6">
        <v>1</v>
      </c>
      <c r="H58" s="3">
        <v>2800</v>
      </c>
      <c r="I58" s="5">
        <v>0.2</v>
      </c>
      <c r="J58" s="4">
        <v>214.88</v>
      </c>
      <c r="K58" t="s">
        <v>75</v>
      </c>
      <c r="L58" t="s">
        <v>36</v>
      </c>
      <c r="M58" t="s">
        <v>37</v>
      </c>
      <c r="N58" t="s">
        <v>38</v>
      </c>
      <c r="O58" t="s">
        <v>23</v>
      </c>
    </row>
    <row r="59" spans="1:15" x14ac:dyDescent="0.3">
      <c r="A59" s="2" t="s">
        <v>587</v>
      </c>
      <c r="B59" s="2">
        <v>45776</v>
      </c>
      <c r="C59" t="s">
        <v>109</v>
      </c>
      <c r="D59" t="s">
        <v>95</v>
      </c>
      <c r="E59" t="s">
        <v>96</v>
      </c>
      <c r="F59" t="s">
        <v>96</v>
      </c>
      <c r="G59" s="6">
        <v>2</v>
      </c>
      <c r="H59" s="3">
        <v>1422</v>
      </c>
      <c r="I59" s="5">
        <v>0.21</v>
      </c>
      <c r="J59" s="4">
        <v>216.95</v>
      </c>
      <c r="K59" t="s">
        <v>28</v>
      </c>
      <c r="L59" t="s">
        <v>134</v>
      </c>
      <c r="M59" t="s">
        <v>135</v>
      </c>
      <c r="N59" t="s">
        <v>55</v>
      </c>
      <c r="O59" t="s">
        <v>44</v>
      </c>
    </row>
    <row r="60" spans="1:15" x14ac:dyDescent="0.3">
      <c r="A60" s="2" t="s">
        <v>524</v>
      </c>
      <c r="B60" s="2">
        <v>45756</v>
      </c>
      <c r="C60" t="s">
        <v>450</v>
      </c>
      <c r="D60" t="s">
        <v>47</v>
      </c>
      <c r="E60" t="s">
        <v>194</v>
      </c>
      <c r="F60" t="s">
        <v>194</v>
      </c>
      <c r="G60" s="6">
        <v>2</v>
      </c>
      <c r="H60" s="3">
        <v>99000</v>
      </c>
      <c r="I60" s="5">
        <v>0.1</v>
      </c>
      <c r="J60" s="4">
        <v>11996.28</v>
      </c>
      <c r="K60" t="s">
        <v>28</v>
      </c>
      <c r="L60" t="s">
        <v>149</v>
      </c>
      <c r="M60" t="s">
        <v>175</v>
      </c>
      <c r="N60" t="s">
        <v>38</v>
      </c>
      <c r="O60" t="s">
        <v>23</v>
      </c>
    </row>
    <row r="61" spans="1:15" x14ac:dyDescent="0.3">
      <c r="A61" s="2" t="s">
        <v>470</v>
      </c>
      <c r="B61" s="2">
        <v>45740</v>
      </c>
      <c r="C61" t="s">
        <v>169</v>
      </c>
      <c r="D61" t="s">
        <v>34</v>
      </c>
      <c r="E61" t="s">
        <v>41</v>
      </c>
      <c r="F61" t="s">
        <v>41</v>
      </c>
      <c r="G61" s="6">
        <v>2</v>
      </c>
      <c r="H61" s="3">
        <v>9100</v>
      </c>
      <c r="I61" s="5">
        <v>0.09</v>
      </c>
      <c r="J61" s="4">
        <v>1241.6099999999999</v>
      </c>
      <c r="K61" t="s">
        <v>28</v>
      </c>
      <c r="L61" t="s">
        <v>159</v>
      </c>
      <c r="M61" t="s">
        <v>160</v>
      </c>
      <c r="N61" t="s">
        <v>38</v>
      </c>
      <c r="O61" t="s">
        <v>23</v>
      </c>
    </row>
    <row r="62" spans="1:15" x14ac:dyDescent="0.3">
      <c r="A62" s="2" t="s">
        <v>1093</v>
      </c>
      <c r="B62" s="2">
        <v>45945</v>
      </c>
      <c r="C62" t="s">
        <v>667</v>
      </c>
      <c r="D62" t="s">
        <v>68</v>
      </c>
      <c r="E62" t="s">
        <v>237</v>
      </c>
      <c r="F62" t="s">
        <v>237</v>
      </c>
      <c r="G62" s="6">
        <v>3</v>
      </c>
      <c r="H62" s="3">
        <v>2160</v>
      </c>
      <c r="I62" s="5">
        <v>0.2</v>
      </c>
      <c r="J62" s="4">
        <v>365.79</v>
      </c>
      <c r="K62" t="s">
        <v>49</v>
      </c>
      <c r="L62" t="s">
        <v>36</v>
      </c>
      <c r="M62" t="s">
        <v>101</v>
      </c>
      <c r="N62" t="s">
        <v>38</v>
      </c>
      <c r="O62" t="s">
        <v>23</v>
      </c>
    </row>
    <row r="63" spans="1:15" x14ac:dyDescent="0.3">
      <c r="A63" s="2" t="s">
        <v>332</v>
      </c>
      <c r="B63" s="2">
        <v>45711</v>
      </c>
      <c r="C63" t="s">
        <v>333</v>
      </c>
      <c r="D63" t="s">
        <v>47</v>
      </c>
      <c r="E63" t="s">
        <v>224</v>
      </c>
      <c r="F63" t="s">
        <v>224</v>
      </c>
      <c r="G63" s="6">
        <v>4</v>
      </c>
      <c r="H63" s="3">
        <v>17800</v>
      </c>
      <c r="I63" s="5">
        <v>0.11</v>
      </c>
      <c r="J63" s="4">
        <v>3443.97</v>
      </c>
      <c r="K63" t="s">
        <v>28</v>
      </c>
      <c r="L63" t="s">
        <v>70</v>
      </c>
      <c r="M63" t="s">
        <v>71</v>
      </c>
      <c r="N63" t="s">
        <v>55</v>
      </c>
      <c r="O63" t="s">
        <v>23</v>
      </c>
    </row>
    <row r="64" spans="1:15" x14ac:dyDescent="0.3">
      <c r="A64" s="2" t="s">
        <v>430</v>
      </c>
      <c r="B64" s="2">
        <v>45732</v>
      </c>
      <c r="C64" t="s">
        <v>203</v>
      </c>
      <c r="D64" t="s">
        <v>68</v>
      </c>
      <c r="E64" t="s">
        <v>237</v>
      </c>
      <c r="F64" t="s">
        <v>237</v>
      </c>
      <c r="G64" s="6">
        <v>2</v>
      </c>
      <c r="H64" s="3">
        <v>1332</v>
      </c>
      <c r="I64" s="5">
        <v>0.26</v>
      </c>
      <c r="J64" s="4">
        <v>282.18</v>
      </c>
      <c r="K64" t="s">
        <v>49</v>
      </c>
      <c r="L64" t="s">
        <v>70</v>
      </c>
      <c r="M64" t="s">
        <v>71</v>
      </c>
      <c r="N64" t="s">
        <v>55</v>
      </c>
      <c r="O64" t="s">
        <v>44</v>
      </c>
    </row>
    <row r="65" spans="1:15" x14ac:dyDescent="0.3">
      <c r="A65" s="2" t="s">
        <v>989</v>
      </c>
      <c r="B65" s="2">
        <v>45906</v>
      </c>
      <c r="C65" t="s">
        <v>990</v>
      </c>
      <c r="D65" t="s">
        <v>95</v>
      </c>
      <c r="E65" t="s">
        <v>96</v>
      </c>
      <c r="F65" t="s">
        <v>96</v>
      </c>
      <c r="G65" s="6">
        <v>3</v>
      </c>
      <c r="H65" s="3">
        <v>2187</v>
      </c>
      <c r="I65" s="5">
        <v>0.19</v>
      </c>
      <c r="J65" s="4">
        <v>422.9</v>
      </c>
      <c r="K65" t="s">
        <v>49</v>
      </c>
      <c r="L65" t="s">
        <v>97</v>
      </c>
      <c r="M65" t="s">
        <v>163</v>
      </c>
      <c r="N65" t="s">
        <v>31</v>
      </c>
      <c r="O65" t="s">
        <v>44</v>
      </c>
    </row>
    <row r="66" spans="1:15" x14ac:dyDescent="0.3">
      <c r="A66" s="2" t="s">
        <v>648</v>
      </c>
      <c r="B66" s="2">
        <v>45795</v>
      </c>
      <c r="C66" t="s">
        <v>231</v>
      </c>
      <c r="D66" t="s">
        <v>34</v>
      </c>
      <c r="E66" t="s">
        <v>41</v>
      </c>
      <c r="F66" t="s">
        <v>41</v>
      </c>
      <c r="G66" s="6">
        <v>5</v>
      </c>
      <c r="H66" s="3">
        <v>21750</v>
      </c>
      <c r="I66" s="5">
        <v>0.13</v>
      </c>
      <c r="J66" s="4">
        <v>2783.27</v>
      </c>
      <c r="K66" t="s">
        <v>28</v>
      </c>
      <c r="L66" t="s">
        <v>36</v>
      </c>
      <c r="M66" t="s">
        <v>37</v>
      </c>
      <c r="N66" t="s">
        <v>38</v>
      </c>
      <c r="O66" t="s">
        <v>44</v>
      </c>
    </row>
    <row r="67" spans="1:15" x14ac:dyDescent="0.3">
      <c r="A67" s="2" t="s">
        <v>569</v>
      </c>
      <c r="B67" s="2">
        <v>45768</v>
      </c>
      <c r="C67" t="s">
        <v>337</v>
      </c>
      <c r="D67" t="s">
        <v>26</v>
      </c>
      <c r="E67" t="s">
        <v>118</v>
      </c>
      <c r="F67" t="s">
        <v>118</v>
      </c>
      <c r="G67" s="6">
        <v>3</v>
      </c>
      <c r="H67" s="3">
        <v>4752</v>
      </c>
      <c r="I67" s="5">
        <v>0.12</v>
      </c>
      <c r="J67" s="4">
        <v>1033.55</v>
      </c>
      <c r="K67" t="s">
        <v>65</v>
      </c>
      <c r="L67" t="s">
        <v>121</v>
      </c>
      <c r="M67" t="s">
        <v>122</v>
      </c>
      <c r="N67" t="s">
        <v>55</v>
      </c>
      <c r="O67" t="s">
        <v>23</v>
      </c>
    </row>
    <row r="68" spans="1:15" x14ac:dyDescent="0.3">
      <c r="A68" s="2" t="s">
        <v>712</v>
      </c>
      <c r="B68" s="2">
        <v>45812</v>
      </c>
      <c r="C68" t="s">
        <v>235</v>
      </c>
      <c r="D68" t="s">
        <v>58</v>
      </c>
      <c r="E68" t="s">
        <v>138</v>
      </c>
      <c r="F68" t="s">
        <v>138</v>
      </c>
      <c r="G68" s="6">
        <v>1</v>
      </c>
      <c r="H68" s="3">
        <v>1980</v>
      </c>
      <c r="I68" s="5">
        <v>0.1</v>
      </c>
      <c r="J68" s="4">
        <v>341.75</v>
      </c>
      <c r="K68" t="s">
        <v>75</v>
      </c>
      <c r="L68" t="s">
        <v>149</v>
      </c>
      <c r="M68" t="s">
        <v>175</v>
      </c>
      <c r="N68" t="s">
        <v>38</v>
      </c>
      <c r="O68" t="s">
        <v>23</v>
      </c>
    </row>
    <row r="69" spans="1:15" x14ac:dyDescent="0.3">
      <c r="A69" s="2" t="s">
        <v>1188</v>
      </c>
      <c r="B69" s="2">
        <v>45983</v>
      </c>
      <c r="C69" t="s">
        <v>285</v>
      </c>
      <c r="D69" t="s">
        <v>47</v>
      </c>
      <c r="E69" t="s">
        <v>194</v>
      </c>
      <c r="F69" t="s">
        <v>194</v>
      </c>
      <c r="G69" s="6">
        <v>2</v>
      </c>
      <c r="H69" s="3">
        <v>104500</v>
      </c>
      <c r="I69" s="5">
        <v>0.05</v>
      </c>
      <c r="J69" s="4">
        <v>12039.62</v>
      </c>
      <c r="K69" t="s">
        <v>52</v>
      </c>
      <c r="L69" t="s">
        <v>36</v>
      </c>
      <c r="M69" t="s">
        <v>37</v>
      </c>
      <c r="N69" t="s">
        <v>38</v>
      </c>
      <c r="O69" t="s">
        <v>23</v>
      </c>
    </row>
    <row r="70" spans="1:15" x14ac:dyDescent="0.3">
      <c r="A70" s="2" t="s">
        <v>1067</v>
      </c>
      <c r="B70" s="2">
        <v>45939</v>
      </c>
      <c r="C70" t="s">
        <v>273</v>
      </c>
      <c r="D70" t="s">
        <v>26</v>
      </c>
      <c r="E70" t="s">
        <v>27</v>
      </c>
      <c r="F70" t="s">
        <v>27</v>
      </c>
      <c r="G70" s="6">
        <v>3</v>
      </c>
      <c r="H70" s="3">
        <v>3360</v>
      </c>
      <c r="I70" s="5">
        <v>0.2</v>
      </c>
      <c r="J70" s="4">
        <v>619.84</v>
      </c>
      <c r="K70" t="s">
        <v>52</v>
      </c>
      <c r="L70" t="s">
        <v>36</v>
      </c>
      <c r="M70" t="s">
        <v>128</v>
      </c>
      <c r="N70" t="s">
        <v>38</v>
      </c>
      <c r="O70" t="s">
        <v>44</v>
      </c>
    </row>
    <row r="71" spans="1:15" x14ac:dyDescent="0.3">
      <c r="A71" s="2" t="s">
        <v>887</v>
      </c>
      <c r="B71" s="2">
        <v>45871</v>
      </c>
      <c r="C71" t="s">
        <v>137</v>
      </c>
      <c r="D71" t="s">
        <v>17</v>
      </c>
      <c r="E71" t="s">
        <v>18</v>
      </c>
      <c r="F71" t="s">
        <v>18</v>
      </c>
      <c r="G71" s="6">
        <v>5</v>
      </c>
      <c r="H71" s="3">
        <v>120000</v>
      </c>
      <c r="I71" s="5">
        <v>0.2</v>
      </c>
      <c r="J71" s="4">
        <v>15591.34</v>
      </c>
      <c r="K71" t="s">
        <v>28</v>
      </c>
      <c r="L71" t="s">
        <v>36</v>
      </c>
      <c r="M71" t="s">
        <v>37</v>
      </c>
      <c r="N71" t="s">
        <v>38</v>
      </c>
      <c r="O71" t="s">
        <v>23</v>
      </c>
    </row>
    <row r="72" spans="1:15" x14ac:dyDescent="0.3">
      <c r="A72" s="2" t="s">
        <v>72</v>
      </c>
      <c r="B72" s="2">
        <v>45664</v>
      </c>
      <c r="C72" t="s">
        <v>73</v>
      </c>
      <c r="D72" t="s">
        <v>47</v>
      </c>
      <c r="E72" t="s">
        <v>74</v>
      </c>
      <c r="F72" t="s">
        <v>74</v>
      </c>
      <c r="G72" s="6">
        <v>3</v>
      </c>
      <c r="H72" s="3">
        <v>42660</v>
      </c>
      <c r="I72" s="5">
        <v>0.21</v>
      </c>
      <c r="J72" s="4">
        <v>5886.63</v>
      </c>
      <c r="K72" t="s">
        <v>75</v>
      </c>
      <c r="L72" t="s">
        <v>20</v>
      </c>
      <c r="M72" t="s">
        <v>21</v>
      </c>
      <c r="N72" t="s">
        <v>22</v>
      </c>
      <c r="O72" t="s">
        <v>23</v>
      </c>
    </row>
    <row r="73" spans="1:15" x14ac:dyDescent="0.3">
      <c r="A73" s="2" t="s">
        <v>131</v>
      </c>
      <c r="B73" s="2">
        <v>45672</v>
      </c>
      <c r="C73" t="s">
        <v>132</v>
      </c>
      <c r="D73" t="s">
        <v>26</v>
      </c>
      <c r="E73" t="s">
        <v>133</v>
      </c>
      <c r="F73" t="s">
        <v>133</v>
      </c>
      <c r="G73" s="6">
        <v>3</v>
      </c>
      <c r="H73" s="3">
        <v>6804</v>
      </c>
      <c r="I73" s="5">
        <v>0.19</v>
      </c>
      <c r="J73" s="4">
        <v>1148.55</v>
      </c>
      <c r="K73" t="s">
        <v>19</v>
      </c>
      <c r="L73" t="s">
        <v>134</v>
      </c>
      <c r="M73" t="s">
        <v>135</v>
      </c>
      <c r="N73" t="s">
        <v>55</v>
      </c>
      <c r="O73" t="s">
        <v>23</v>
      </c>
    </row>
    <row r="74" spans="1:15" x14ac:dyDescent="0.3">
      <c r="A74" s="2" t="s">
        <v>672</v>
      </c>
      <c r="B74" s="2">
        <v>45802</v>
      </c>
      <c r="C74" t="s">
        <v>155</v>
      </c>
      <c r="D74" t="s">
        <v>17</v>
      </c>
      <c r="E74" t="s">
        <v>158</v>
      </c>
      <c r="F74" t="s">
        <v>158</v>
      </c>
      <c r="G74" s="6">
        <v>2</v>
      </c>
      <c r="H74" s="3">
        <v>39600</v>
      </c>
      <c r="I74" s="5">
        <v>0.1</v>
      </c>
      <c r="J74" s="4">
        <v>3968.88</v>
      </c>
      <c r="K74" t="s">
        <v>28</v>
      </c>
      <c r="L74" t="s">
        <v>208</v>
      </c>
      <c r="M74" t="s">
        <v>209</v>
      </c>
      <c r="N74" t="s">
        <v>31</v>
      </c>
      <c r="O74" t="s">
        <v>23</v>
      </c>
    </row>
    <row r="75" spans="1:15" x14ac:dyDescent="0.3">
      <c r="A75" s="2" t="s">
        <v>570</v>
      </c>
      <c r="B75" s="2">
        <v>45768</v>
      </c>
      <c r="C75" t="s">
        <v>496</v>
      </c>
      <c r="D75" t="s">
        <v>26</v>
      </c>
      <c r="E75" t="s">
        <v>27</v>
      </c>
      <c r="F75" t="s">
        <v>27</v>
      </c>
      <c r="G75" s="6">
        <v>1</v>
      </c>
      <c r="H75" s="3">
        <v>1022</v>
      </c>
      <c r="I75" s="5">
        <v>0.27</v>
      </c>
      <c r="J75" s="4">
        <v>229.72</v>
      </c>
      <c r="K75" t="s">
        <v>49</v>
      </c>
      <c r="L75" t="s">
        <v>42</v>
      </c>
      <c r="M75" t="s">
        <v>43</v>
      </c>
      <c r="N75" t="s">
        <v>22</v>
      </c>
      <c r="O75" t="s">
        <v>23</v>
      </c>
    </row>
    <row r="76" spans="1:15" x14ac:dyDescent="0.3">
      <c r="A76" s="2" t="s">
        <v>56</v>
      </c>
      <c r="B76" s="2">
        <v>45663</v>
      </c>
      <c r="C76" t="s">
        <v>57</v>
      </c>
      <c r="D76" t="s">
        <v>58</v>
      </c>
      <c r="E76" t="s">
        <v>59</v>
      </c>
      <c r="F76" t="s">
        <v>59</v>
      </c>
      <c r="G76" s="6">
        <v>1</v>
      </c>
      <c r="H76" s="3">
        <v>360</v>
      </c>
      <c r="I76" s="5">
        <v>0.2</v>
      </c>
      <c r="J76" s="4">
        <v>50.06</v>
      </c>
      <c r="K76" t="s">
        <v>28</v>
      </c>
      <c r="L76" t="s">
        <v>60</v>
      </c>
      <c r="M76" t="s">
        <v>61</v>
      </c>
      <c r="N76" t="s">
        <v>38</v>
      </c>
      <c r="O76" t="s">
        <v>44</v>
      </c>
    </row>
    <row r="77" spans="1:15" x14ac:dyDescent="0.3">
      <c r="A77" s="2" t="s">
        <v>686</v>
      </c>
      <c r="B77" s="2">
        <v>45807</v>
      </c>
      <c r="C77" t="s">
        <v>687</v>
      </c>
      <c r="D77" t="s">
        <v>26</v>
      </c>
      <c r="E77" t="s">
        <v>64</v>
      </c>
      <c r="F77" t="s">
        <v>64</v>
      </c>
      <c r="G77" s="6">
        <v>2</v>
      </c>
      <c r="H77" s="3">
        <v>1422</v>
      </c>
      <c r="I77" s="5">
        <v>0.21</v>
      </c>
      <c r="J77" s="4">
        <v>203.42</v>
      </c>
      <c r="K77" t="s">
        <v>19</v>
      </c>
      <c r="L77" t="s">
        <v>97</v>
      </c>
      <c r="M77" t="s">
        <v>98</v>
      </c>
      <c r="N77" t="s">
        <v>31</v>
      </c>
      <c r="O77" t="s">
        <v>44</v>
      </c>
    </row>
    <row r="78" spans="1:15" x14ac:dyDescent="0.3">
      <c r="A78" s="2" t="s">
        <v>234</v>
      </c>
      <c r="B78" s="2">
        <v>45688</v>
      </c>
      <c r="C78" t="s">
        <v>235</v>
      </c>
      <c r="D78" t="s">
        <v>68</v>
      </c>
      <c r="E78" t="s">
        <v>153</v>
      </c>
      <c r="F78" t="s">
        <v>153</v>
      </c>
      <c r="G78" s="6">
        <v>2</v>
      </c>
      <c r="H78" s="3">
        <v>1896</v>
      </c>
      <c r="I78" s="5">
        <v>0.21</v>
      </c>
      <c r="J78" s="4">
        <v>367.12</v>
      </c>
      <c r="K78" t="s">
        <v>19</v>
      </c>
      <c r="L78" t="s">
        <v>70</v>
      </c>
      <c r="M78" t="s">
        <v>71</v>
      </c>
      <c r="N78" t="s">
        <v>55</v>
      </c>
      <c r="O78" t="s">
        <v>44</v>
      </c>
    </row>
    <row r="79" spans="1:15" x14ac:dyDescent="0.3">
      <c r="A79" s="2" t="s">
        <v>376</v>
      </c>
      <c r="B79" s="2">
        <v>45719</v>
      </c>
      <c r="C79" t="s">
        <v>132</v>
      </c>
      <c r="D79" t="s">
        <v>47</v>
      </c>
      <c r="E79" t="s">
        <v>48</v>
      </c>
      <c r="F79" t="s">
        <v>48</v>
      </c>
      <c r="G79" s="6">
        <v>3</v>
      </c>
      <c r="H79" s="3">
        <v>63000</v>
      </c>
      <c r="I79" s="5">
        <v>0.16</v>
      </c>
      <c r="J79" s="4">
        <v>6164.92</v>
      </c>
      <c r="K79" t="s">
        <v>19</v>
      </c>
      <c r="L79" t="s">
        <v>149</v>
      </c>
      <c r="M79" t="s">
        <v>175</v>
      </c>
      <c r="N79" t="s">
        <v>38</v>
      </c>
      <c r="O79" t="s">
        <v>23</v>
      </c>
    </row>
    <row r="80" spans="1:15" x14ac:dyDescent="0.3">
      <c r="A80" s="2" t="s">
        <v>872</v>
      </c>
      <c r="B80" s="2">
        <v>45869</v>
      </c>
      <c r="C80" t="s">
        <v>677</v>
      </c>
      <c r="D80" t="s">
        <v>95</v>
      </c>
      <c r="E80" t="s">
        <v>96</v>
      </c>
      <c r="F80" t="s">
        <v>96</v>
      </c>
      <c r="G80" s="6">
        <v>2</v>
      </c>
      <c r="H80" s="3">
        <v>1476</v>
      </c>
      <c r="I80" s="5">
        <v>0.18</v>
      </c>
      <c r="J80" s="4">
        <v>254.36</v>
      </c>
      <c r="K80" t="s">
        <v>19</v>
      </c>
      <c r="L80" t="s">
        <v>78</v>
      </c>
      <c r="M80" t="s">
        <v>79</v>
      </c>
      <c r="N80" t="s">
        <v>22</v>
      </c>
      <c r="O80" t="s">
        <v>23</v>
      </c>
    </row>
    <row r="81" spans="1:15" x14ac:dyDescent="0.3">
      <c r="A81" s="2" t="s">
        <v>1215</v>
      </c>
      <c r="B81" s="2">
        <v>45990</v>
      </c>
      <c r="C81" t="s">
        <v>366</v>
      </c>
      <c r="D81" t="s">
        <v>47</v>
      </c>
      <c r="E81" t="s">
        <v>74</v>
      </c>
      <c r="F81" t="s">
        <v>74</v>
      </c>
      <c r="G81" s="6">
        <v>1</v>
      </c>
      <c r="H81" s="3">
        <v>16740</v>
      </c>
      <c r="I81" s="5">
        <v>7.0000000000000007E-2</v>
      </c>
      <c r="J81" s="4">
        <v>946.31</v>
      </c>
      <c r="K81" t="s">
        <v>75</v>
      </c>
      <c r="L81" t="s">
        <v>149</v>
      </c>
      <c r="M81" t="s">
        <v>175</v>
      </c>
      <c r="N81" t="s">
        <v>38</v>
      </c>
      <c r="O81" t="s">
        <v>23</v>
      </c>
    </row>
    <row r="82" spans="1:15" x14ac:dyDescent="0.3">
      <c r="A82" s="2" t="s">
        <v>622</v>
      </c>
      <c r="B82" s="2">
        <v>45787</v>
      </c>
      <c r="C82" t="s">
        <v>198</v>
      </c>
      <c r="D82" t="s">
        <v>34</v>
      </c>
      <c r="E82" t="s">
        <v>35</v>
      </c>
      <c r="F82" t="s">
        <v>35</v>
      </c>
      <c r="G82" s="6">
        <v>1</v>
      </c>
      <c r="H82" s="3">
        <v>984</v>
      </c>
      <c r="I82" s="5">
        <v>0.18</v>
      </c>
      <c r="J82" s="4">
        <v>142.09</v>
      </c>
      <c r="K82" t="s">
        <v>49</v>
      </c>
      <c r="L82" t="s">
        <v>60</v>
      </c>
      <c r="M82" t="s">
        <v>61</v>
      </c>
      <c r="N82" t="s">
        <v>38</v>
      </c>
      <c r="O82" t="s">
        <v>44</v>
      </c>
    </row>
    <row r="83" spans="1:15" x14ac:dyDescent="0.3">
      <c r="A83" s="2" t="s">
        <v>1218</v>
      </c>
      <c r="B83" s="2">
        <v>45991</v>
      </c>
      <c r="C83" t="s">
        <v>25</v>
      </c>
      <c r="D83" t="s">
        <v>17</v>
      </c>
      <c r="E83" t="s">
        <v>90</v>
      </c>
      <c r="F83" t="s">
        <v>90</v>
      </c>
      <c r="G83" s="6">
        <v>4</v>
      </c>
      <c r="H83" s="3">
        <v>17000</v>
      </c>
      <c r="I83" s="5">
        <v>0.15</v>
      </c>
      <c r="J83" s="4">
        <v>1342.22</v>
      </c>
      <c r="K83" t="s">
        <v>19</v>
      </c>
      <c r="L83" t="s">
        <v>36</v>
      </c>
      <c r="M83" t="s">
        <v>128</v>
      </c>
      <c r="N83" t="s">
        <v>38</v>
      </c>
      <c r="O83" t="s">
        <v>23</v>
      </c>
    </row>
    <row r="84" spans="1:15" x14ac:dyDescent="0.3">
      <c r="A84" s="2" t="s">
        <v>934</v>
      </c>
      <c r="B84" s="2">
        <v>45886</v>
      </c>
      <c r="C84" t="s">
        <v>935</v>
      </c>
      <c r="D84" t="s">
        <v>17</v>
      </c>
      <c r="E84" t="s">
        <v>18</v>
      </c>
      <c r="F84" t="s">
        <v>18</v>
      </c>
      <c r="G84" s="6">
        <v>1</v>
      </c>
      <c r="H84" s="3">
        <v>24000</v>
      </c>
      <c r="I84" s="5">
        <v>0.2</v>
      </c>
      <c r="J84" s="4">
        <v>1907.41</v>
      </c>
      <c r="K84" t="s">
        <v>75</v>
      </c>
      <c r="L84" t="s">
        <v>78</v>
      </c>
      <c r="M84" t="s">
        <v>79</v>
      </c>
      <c r="N84" t="s">
        <v>22</v>
      </c>
      <c r="O84" t="s">
        <v>23</v>
      </c>
    </row>
    <row r="85" spans="1:15" x14ac:dyDescent="0.3">
      <c r="A85" s="2" t="s">
        <v>484</v>
      </c>
      <c r="B85" s="2">
        <v>45746</v>
      </c>
      <c r="C85" t="s">
        <v>220</v>
      </c>
      <c r="D85" t="s">
        <v>34</v>
      </c>
      <c r="E85" t="s">
        <v>302</v>
      </c>
      <c r="F85" t="s">
        <v>302</v>
      </c>
      <c r="G85" s="6">
        <v>3</v>
      </c>
      <c r="H85" s="3">
        <v>8190</v>
      </c>
      <c r="I85" s="5">
        <v>0.22</v>
      </c>
      <c r="J85" s="4">
        <v>1146.93</v>
      </c>
      <c r="K85" t="s">
        <v>28</v>
      </c>
      <c r="L85" t="s">
        <v>159</v>
      </c>
      <c r="M85" t="s">
        <v>160</v>
      </c>
      <c r="N85" t="s">
        <v>38</v>
      </c>
      <c r="O85" t="s">
        <v>44</v>
      </c>
    </row>
    <row r="86" spans="1:15" x14ac:dyDescent="0.3">
      <c r="A86" s="2" t="s">
        <v>703</v>
      </c>
      <c r="B86" s="2">
        <v>45810</v>
      </c>
      <c r="C86" t="s">
        <v>437</v>
      </c>
      <c r="D86" t="s">
        <v>34</v>
      </c>
      <c r="E86" t="s">
        <v>41</v>
      </c>
      <c r="F86" t="s">
        <v>41</v>
      </c>
      <c r="G86" s="6">
        <v>1</v>
      </c>
      <c r="H86" s="3">
        <v>4250</v>
      </c>
      <c r="I86" s="5">
        <v>0.15</v>
      </c>
      <c r="J86" s="4">
        <v>346.42</v>
      </c>
      <c r="K86" t="s">
        <v>49</v>
      </c>
      <c r="L86" t="s">
        <v>170</v>
      </c>
      <c r="M86" t="s">
        <v>171</v>
      </c>
      <c r="N86" t="s">
        <v>31</v>
      </c>
      <c r="O86" t="s">
        <v>44</v>
      </c>
    </row>
    <row r="87" spans="1:15" x14ac:dyDescent="0.3">
      <c r="A87" s="2" t="s">
        <v>397</v>
      </c>
      <c r="B87" s="2">
        <v>45724</v>
      </c>
      <c r="C87" t="s">
        <v>398</v>
      </c>
      <c r="D87" t="s">
        <v>47</v>
      </c>
      <c r="E87" t="s">
        <v>368</v>
      </c>
      <c r="F87" t="s">
        <v>368</v>
      </c>
      <c r="G87" s="6">
        <v>1</v>
      </c>
      <c r="H87" s="3">
        <v>1566</v>
      </c>
      <c r="I87" s="5">
        <v>0.13</v>
      </c>
      <c r="J87" s="4">
        <v>187.91</v>
      </c>
      <c r="K87" t="s">
        <v>28</v>
      </c>
      <c r="L87" t="s">
        <v>70</v>
      </c>
      <c r="M87" t="s">
        <v>71</v>
      </c>
      <c r="N87" t="s">
        <v>55</v>
      </c>
      <c r="O87" t="s">
        <v>44</v>
      </c>
    </row>
    <row r="88" spans="1:15" x14ac:dyDescent="0.3">
      <c r="A88" s="2" t="s">
        <v>719</v>
      </c>
      <c r="B88" s="2">
        <v>45814</v>
      </c>
      <c r="C88" t="s">
        <v>127</v>
      </c>
      <c r="D88" t="s">
        <v>95</v>
      </c>
      <c r="E88" t="s">
        <v>96</v>
      </c>
      <c r="F88" t="s">
        <v>96</v>
      </c>
      <c r="G88" s="6">
        <v>2</v>
      </c>
      <c r="H88" s="3">
        <v>1476</v>
      </c>
      <c r="I88" s="5">
        <v>0.18</v>
      </c>
      <c r="J88" s="4">
        <v>279.99</v>
      </c>
      <c r="K88" t="s">
        <v>19</v>
      </c>
      <c r="L88" t="s">
        <v>149</v>
      </c>
      <c r="M88" t="s">
        <v>150</v>
      </c>
      <c r="N88" t="s">
        <v>38</v>
      </c>
      <c r="O88" t="s">
        <v>23</v>
      </c>
    </row>
    <row r="89" spans="1:15" x14ac:dyDescent="0.3">
      <c r="A89" s="2" t="s">
        <v>592</v>
      </c>
      <c r="B89" s="2">
        <v>45780</v>
      </c>
      <c r="C89" t="s">
        <v>46</v>
      </c>
      <c r="D89" t="s">
        <v>17</v>
      </c>
      <c r="E89" t="s">
        <v>110</v>
      </c>
      <c r="F89" t="s">
        <v>110</v>
      </c>
      <c r="G89" s="6">
        <v>1</v>
      </c>
      <c r="H89" s="3">
        <v>5460</v>
      </c>
      <c r="I89" s="5">
        <v>0.16</v>
      </c>
      <c r="J89" s="4">
        <v>525.89</v>
      </c>
      <c r="K89" t="s">
        <v>65</v>
      </c>
      <c r="L89" t="s">
        <v>70</v>
      </c>
      <c r="M89" t="s">
        <v>71</v>
      </c>
      <c r="N89" t="s">
        <v>55</v>
      </c>
      <c r="O89" t="s">
        <v>23</v>
      </c>
    </row>
    <row r="90" spans="1:15" x14ac:dyDescent="0.3">
      <c r="A90" s="2" t="s">
        <v>136</v>
      </c>
      <c r="B90" s="2">
        <v>45672</v>
      </c>
      <c r="C90" t="s">
        <v>137</v>
      </c>
      <c r="D90" t="s">
        <v>58</v>
      </c>
      <c r="E90" t="s">
        <v>138</v>
      </c>
      <c r="F90" t="s">
        <v>138</v>
      </c>
      <c r="G90" s="6">
        <v>3</v>
      </c>
      <c r="H90" s="3">
        <v>5676</v>
      </c>
      <c r="I90" s="5">
        <v>0.14000000000000001</v>
      </c>
      <c r="J90" s="4">
        <v>829.74</v>
      </c>
      <c r="K90" t="s">
        <v>28</v>
      </c>
      <c r="L90" t="s">
        <v>42</v>
      </c>
      <c r="M90" t="s">
        <v>43</v>
      </c>
      <c r="N90" t="s">
        <v>22</v>
      </c>
      <c r="O90" t="s">
        <v>23</v>
      </c>
    </row>
    <row r="91" spans="1:15" x14ac:dyDescent="0.3">
      <c r="A91" s="2" t="s">
        <v>1101</v>
      </c>
      <c r="B91" s="2">
        <v>45949</v>
      </c>
      <c r="C91" t="s">
        <v>255</v>
      </c>
      <c r="D91" t="s">
        <v>58</v>
      </c>
      <c r="E91" t="s">
        <v>59</v>
      </c>
      <c r="F91" t="s">
        <v>59</v>
      </c>
      <c r="G91" s="6">
        <v>2</v>
      </c>
      <c r="H91" s="3">
        <v>756</v>
      </c>
      <c r="I91" s="5">
        <v>0.16</v>
      </c>
      <c r="J91" s="4">
        <v>123.22</v>
      </c>
      <c r="K91" t="s">
        <v>75</v>
      </c>
      <c r="L91" t="s">
        <v>70</v>
      </c>
      <c r="M91" t="s">
        <v>71</v>
      </c>
      <c r="N91" t="s">
        <v>55</v>
      </c>
      <c r="O91" t="s">
        <v>44</v>
      </c>
    </row>
    <row r="92" spans="1:15" x14ac:dyDescent="0.3">
      <c r="A92" s="2" t="s">
        <v>659</v>
      </c>
      <c r="B92" s="2">
        <v>45798</v>
      </c>
      <c r="C92" t="s">
        <v>562</v>
      </c>
      <c r="D92" t="s">
        <v>34</v>
      </c>
      <c r="E92" t="s">
        <v>302</v>
      </c>
      <c r="F92" t="s">
        <v>302</v>
      </c>
      <c r="G92" s="6">
        <v>4</v>
      </c>
      <c r="H92" s="3">
        <v>11340</v>
      </c>
      <c r="I92" s="5">
        <v>0.19</v>
      </c>
      <c r="J92" s="4">
        <v>1435.5</v>
      </c>
      <c r="K92" t="s">
        <v>65</v>
      </c>
      <c r="L92" t="s">
        <v>97</v>
      </c>
      <c r="M92" t="s">
        <v>98</v>
      </c>
      <c r="N92" t="s">
        <v>31</v>
      </c>
      <c r="O92" t="s">
        <v>23</v>
      </c>
    </row>
    <row r="93" spans="1:15" x14ac:dyDescent="0.3">
      <c r="A93" s="2" t="s">
        <v>635</v>
      </c>
      <c r="B93" s="2">
        <v>45790</v>
      </c>
      <c r="C93" t="s">
        <v>63</v>
      </c>
      <c r="D93" t="s">
        <v>68</v>
      </c>
      <c r="E93" t="s">
        <v>153</v>
      </c>
      <c r="F93" t="s">
        <v>153</v>
      </c>
      <c r="G93" s="6">
        <v>3</v>
      </c>
      <c r="H93" s="3">
        <v>2808</v>
      </c>
      <c r="I93" s="5">
        <v>0.22</v>
      </c>
      <c r="J93" s="4">
        <v>580.72</v>
      </c>
      <c r="K93" t="s">
        <v>19</v>
      </c>
      <c r="L93" t="s">
        <v>208</v>
      </c>
      <c r="M93" t="s">
        <v>209</v>
      </c>
      <c r="N93" t="s">
        <v>31</v>
      </c>
      <c r="O93" t="s">
        <v>44</v>
      </c>
    </row>
    <row r="94" spans="1:15" x14ac:dyDescent="0.3">
      <c r="A94" s="2" t="s">
        <v>1115</v>
      </c>
      <c r="B94" s="2">
        <v>45954</v>
      </c>
      <c r="C94" t="s">
        <v>73</v>
      </c>
      <c r="D94" t="s">
        <v>26</v>
      </c>
      <c r="E94" t="s">
        <v>27</v>
      </c>
      <c r="F94" t="s">
        <v>27</v>
      </c>
      <c r="G94" s="6">
        <v>3</v>
      </c>
      <c r="H94" s="3">
        <v>3402</v>
      </c>
      <c r="I94" s="5">
        <v>0.19</v>
      </c>
      <c r="J94" s="4">
        <v>606.38</v>
      </c>
      <c r="K94" t="s">
        <v>65</v>
      </c>
      <c r="L94" t="s">
        <v>78</v>
      </c>
      <c r="M94" t="s">
        <v>79</v>
      </c>
      <c r="N94" t="s">
        <v>22</v>
      </c>
      <c r="O94" t="s">
        <v>44</v>
      </c>
    </row>
    <row r="95" spans="1:15" x14ac:dyDescent="0.3">
      <c r="A95" s="2" t="s">
        <v>338</v>
      </c>
      <c r="B95" s="2">
        <v>45712</v>
      </c>
      <c r="C95" t="s">
        <v>142</v>
      </c>
      <c r="D95" t="s">
        <v>34</v>
      </c>
      <c r="E95" t="s">
        <v>107</v>
      </c>
      <c r="F95" t="s">
        <v>107</v>
      </c>
      <c r="G95" s="6">
        <v>2</v>
      </c>
      <c r="H95" s="3">
        <v>7290</v>
      </c>
      <c r="I95" s="5">
        <v>0.19</v>
      </c>
      <c r="J95" s="4">
        <v>821.87</v>
      </c>
      <c r="K95" t="s">
        <v>65</v>
      </c>
      <c r="L95" t="s">
        <v>97</v>
      </c>
      <c r="M95" t="s">
        <v>163</v>
      </c>
      <c r="N95" t="s">
        <v>31</v>
      </c>
      <c r="O95" t="s">
        <v>44</v>
      </c>
    </row>
    <row r="96" spans="1:15" x14ac:dyDescent="0.3">
      <c r="A96" s="2" t="s">
        <v>379</v>
      </c>
      <c r="B96" s="2">
        <v>45720</v>
      </c>
      <c r="C96" t="s">
        <v>380</v>
      </c>
      <c r="D96" t="s">
        <v>26</v>
      </c>
      <c r="E96" t="s">
        <v>133</v>
      </c>
      <c r="F96" t="s">
        <v>133</v>
      </c>
      <c r="G96" s="6">
        <v>5</v>
      </c>
      <c r="H96" s="3">
        <v>11340</v>
      </c>
      <c r="I96" s="5">
        <v>0.19</v>
      </c>
      <c r="J96" s="4">
        <v>2105.88</v>
      </c>
      <c r="K96" t="s">
        <v>49</v>
      </c>
      <c r="L96" t="s">
        <v>53</v>
      </c>
      <c r="M96" t="s">
        <v>54</v>
      </c>
      <c r="N96" t="s">
        <v>55</v>
      </c>
      <c r="O96" t="s">
        <v>23</v>
      </c>
    </row>
    <row r="97" spans="1:15" x14ac:dyDescent="0.3">
      <c r="A97" s="2" t="s">
        <v>783</v>
      </c>
      <c r="B97" s="2">
        <v>45839</v>
      </c>
      <c r="C97" t="s">
        <v>424</v>
      </c>
      <c r="D97" t="s">
        <v>26</v>
      </c>
      <c r="E97" t="s">
        <v>188</v>
      </c>
      <c r="F97" t="s">
        <v>188</v>
      </c>
      <c r="G97" s="6">
        <v>4</v>
      </c>
      <c r="H97" s="3">
        <v>11040</v>
      </c>
      <c r="I97" s="5">
        <v>0.08</v>
      </c>
      <c r="J97" s="4">
        <v>1751.41</v>
      </c>
      <c r="K97" t="s">
        <v>52</v>
      </c>
      <c r="L97" t="s">
        <v>36</v>
      </c>
      <c r="M97" t="s">
        <v>128</v>
      </c>
      <c r="N97" t="s">
        <v>38</v>
      </c>
      <c r="O97" t="s">
        <v>23</v>
      </c>
    </row>
    <row r="98" spans="1:15" x14ac:dyDescent="0.3">
      <c r="A98" s="2" t="s">
        <v>705</v>
      </c>
      <c r="B98" s="2">
        <v>45811</v>
      </c>
      <c r="C98" t="s">
        <v>706</v>
      </c>
      <c r="D98" t="s">
        <v>58</v>
      </c>
      <c r="E98" t="s">
        <v>77</v>
      </c>
      <c r="F98" t="s">
        <v>77</v>
      </c>
      <c r="G98" s="6">
        <v>1</v>
      </c>
      <c r="H98" s="3">
        <v>1584</v>
      </c>
      <c r="I98" s="5">
        <v>0.12</v>
      </c>
      <c r="J98" s="4">
        <v>321.42</v>
      </c>
      <c r="K98" t="s">
        <v>52</v>
      </c>
      <c r="L98" t="s">
        <v>86</v>
      </c>
      <c r="M98" t="s">
        <v>87</v>
      </c>
      <c r="N98" t="s">
        <v>38</v>
      </c>
      <c r="O98" t="s">
        <v>44</v>
      </c>
    </row>
    <row r="99" spans="1:15" x14ac:dyDescent="0.3">
      <c r="A99" s="2" t="s">
        <v>1243</v>
      </c>
      <c r="B99" s="2">
        <v>45999</v>
      </c>
      <c r="C99" t="s">
        <v>680</v>
      </c>
      <c r="D99" t="s">
        <v>58</v>
      </c>
      <c r="E99" t="s">
        <v>77</v>
      </c>
      <c r="F99" t="s">
        <v>77</v>
      </c>
      <c r="G99" s="6">
        <v>3</v>
      </c>
      <c r="H99" s="3">
        <v>4050</v>
      </c>
      <c r="I99" s="5">
        <v>0.25</v>
      </c>
      <c r="J99" s="4">
        <v>775.5</v>
      </c>
      <c r="K99" t="s">
        <v>19</v>
      </c>
      <c r="L99" t="s">
        <v>20</v>
      </c>
      <c r="M99" t="s">
        <v>21</v>
      </c>
      <c r="N99" t="s">
        <v>22</v>
      </c>
      <c r="O99" t="s">
        <v>44</v>
      </c>
    </row>
    <row r="100" spans="1:15" x14ac:dyDescent="0.3">
      <c r="A100" s="2" t="s">
        <v>1080</v>
      </c>
      <c r="B100" s="2">
        <v>45943</v>
      </c>
      <c r="C100" t="s">
        <v>386</v>
      </c>
      <c r="D100" t="s">
        <v>34</v>
      </c>
      <c r="E100" t="s">
        <v>227</v>
      </c>
      <c r="F100" t="s">
        <v>227</v>
      </c>
      <c r="G100" s="6">
        <v>3</v>
      </c>
      <c r="H100" s="3">
        <v>18330</v>
      </c>
      <c r="I100" s="5">
        <v>0.06</v>
      </c>
      <c r="J100" s="4">
        <v>2520.81</v>
      </c>
      <c r="K100" t="s">
        <v>75</v>
      </c>
      <c r="L100" t="s">
        <v>159</v>
      </c>
      <c r="M100" t="s">
        <v>160</v>
      </c>
      <c r="N100" t="s">
        <v>38</v>
      </c>
      <c r="O100" t="s">
        <v>23</v>
      </c>
    </row>
    <row r="101" spans="1:15" x14ac:dyDescent="0.3">
      <c r="A101" s="2" t="s">
        <v>913</v>
      </c>
      <c r="B101" s="2">
        <v>45879</v>
      </c>
      <c r="C101" t="s">
        <v>33</v>
      </c>
      <c r="D101" t="s">
        <v>47</v>
      </c>
      <c r="E101" t="s">
        <v>240</v>
      </c>
      <c r="F101" t="s">
        <v>240</v>
      </c>
      <c r="G101" s="6">
        <v>1</v>
      </c>
      <c r="H101" s="3">
        <v>2175</v>
      </c>
      <c r="I101" s="5">
        <v>0.13</v>
      </c>
      <c r="J101" s="4">
        <v>292.45</v>
      </c>
      <c r="K101" t="s">
        <v>75</v>
      </c>
      <c r="L101" t="s">
        <v>36</v>
      </c>
      <c r="M101" t="s">
        <v>101</v>
      </c>
      <c r="N101" t="s">
        <v>38</v>
      </c>
      <c r="O101" t="s">
        <v>23</v>
      </c>
    </row>
    <row r="102" spans="1:15" x14ac:dyDescent="0.3">
      <c r="A102" s="2" t="s">
        <v>478</v>
      </c>
      <c r="B102" s="2">
        <v>45744</v>
      </c>
      <c r="C102" t="s">
        <v>327</v>
      </c>
      <c r="D102" t="s">
        <v>58</v>
      </c>
      <c r="E102" t="s">
        <v>77</v>
      </c>
      <c r="F102" t="s">
        <v>77</v>
      </c>
      <c r="G102" s="6">
        <v>1</v>
      </c>
      <c r="H102" s="3">
        <v>1530</v>
      </c>
      <c r="I102" s="5">
        <v>0.15</v>
      </c>
      <c r="J102" s="4">
        <v>329.88</v>
      </c>
      <c r="K102" t="s">
        <v>49</v>
      </c>
      <c r="L102" t="s">
        <v>36</v>
      </c>
      <c r="M102" t="s">
        <v>101</v>
      </c>
      <c r="N102" t="s">
        <v>38</v>
      </c>
      <c r="O102" t="s">
        <v>23</v>
      </c>
    </row>
    <row r="103" spans="1:15" x14ac:dyDescent="0.3">
      <c r="A103" s="2" t="s">
        <v>988</v>
      </c>
      <c r="B103" s="2">
        <v>45906</v>
      </c>
      <c r="C103" t="s">
        <v>51</v>
      </c>
      <c r="D103" t="s">
        <v>68</v>
      </c>
      <c r="E103" t="s">
        <v>153</v>
      </c>
      <c r="F103" t="s">
        <v>153</v>
      </c>
      <c r="G103" s="6">
        <v>1</v>
      </c>
      <c r="H103" s="3">
        <v>972</v>
      </c>
      <c r="I103" s="5">
        <v>0.19</v>
      </c>
      <c r="J103" s="4">
        <v>208.45</v>
      </c>
      <c r="K103" t="s">
        <v>75</v>
      </c>
      <c r="L103" t="s">
        <v>170</v>
      </c>
      <c r="M103" t="s">
        <v>171</v>
      </c>
      <c r="N103" t="s">
        <v>31</v>
      </c>
      <c r="O103" t="s">
        <v>44</v>
      </c>
    </row>
    <row r="104" spans="1:15" x14ac:dyDescent="0.3">
      <c r="A104" s="2" t="s">
        <v>1128</v>
      </c>
      <c r="B104" s="2">
        <v>45959</v>
      </c>
      <c r="C104" t="s">
        <v>73</v>
      </c>
      <c r="D104" t="s">
        <v>34</v>
      </c>
      <c r="E104" t="s">
        <v>227</v>
      </c>
      <c r="F104" t="s">
        <v>227</v>
      </c>
      <c r="G104" s="6">
        <v>2</v>
      </c>
      <c r="H104" s="3">
        <v>12220</v>
      </c>
      <c r="I104" s="5">
        <v>0.06</v>
      </c>
      <c r="J104" s="4">
        <v>1191.29</v>
      </c>
      <c r="K104" t="s">
        <v>75</v>
      </c>
      <c r="L104" t="s">
        <v>53</v>
      </c>
      <c r="M104" t="s">
        <v>54</v>
      </c>
      <c r="N104" t="s">
        <v>55</v>
      </c>
      <c r="O104" t="s">
        <v>44</v>
      </c>
    </row>
    <row r="105" spans="1:15" x14ac:dyDescent="0.3">
      <c r="A105" s="2" t="s">
        <v>254</v>
      </c>
      <c r="B105" s="2">
        <v>45693</v>
      </c>
      <c r="C105" t="s">
        <v>255</v>
      </c>
      <c r="D105" t="s">
        <v>58</v>
      </c>
      <c r="E105" t="s">
        <v>138</v>
      </c>
      <c r="F105" t="s">
        <v>138</v>
      </c>
      <c r="G105" s="6">
        <v>1</v>
      </c>
      <c r="H105" s="3">
        <v>1958</v>
      </c>
      <c r="I105" s="5">
        <v>0.11</v>
      </c>
      <c r="J105" s="4">
        <v>273.32</v>
      </c>
      <c r="K105" t="s">
        <v>49</v>
      </c>
      <c r="L105" t="s">
        <v>36</v>
      </c>
      <c r="M105" t="s">
        <v>37</v>
      </c>
      <c r="N105" t="s">
        <v>38</v>
      </c>
      <c r="O105" t="s">
        <v>23</v>
      </c>
    </row>
    <row r="106" spans="1:15" x14ac:dyDescent="0.3">
      <c r="A106" s="2" t="s">
        <v>1102</v>
      </c>
      <c r="B106" s="2">
        <v>45950</v>
      </c>
      <c r="C106" t="s">
        <v>299</v>
      </c>
      <c r="D106" t="s">
        <v>95</v>
      </c>
      <c r="E106" t="s">
        <v>104</v>
      </c>
      <c r="F106" t="s">
        <v>104</v>
      </c>
      <c r="G106" s="6">
        <v>4</v>
      </c>
      <c r="H106" s="3">
        <v>12880</v>
      </c>
      <c r="I106" s="5">
        <v>0.08</v>
      </c>
      <c r="J106" s="4">
        <v>1756.54</v>
      </c>
      <c r="K106" t="s">
        <v>75</v>
      </c>
      <c r="L106" t="s">
        <v>86</v>
      </c>
      <c r="M106" t="s">
        <v>87</v>
      </c>
      <c r="N106" t="s">
        <v>38</v>
      </c>
      <c r="O106" t="s">
        <v>23</v>
      </c>
    </row>
    <row r="107" spans="1:15" x14ac:dyDescent="0.3">
      <c r="A107" s="2" t="s">
        <v>723</v>
      </c>
      <c r="B107" s="2">
        <v>45815</v>
      </c>
      <c r="C107" t="s">
        <v>724</v>
      </c>
      <c r="D107" t="s">
        <v>26</v>
      </c>
      <c r="E107" t="s">
        <v>118</v>
      </c>
      <c r="F107" t="s">
        <v>118</v>
      </c>
      <c r="G107" s="6">
        <v>1</v>
      </c>
      <c r="H107" s="3">
        <v>1332</v>
      </c>
      <c r="I107" s="5">
        <v>0.26</v>
      </c>
      <c r="J107" s="4">
        <v>147.05000000000001</v>
      </c>
      <c r="K107" t="s">
        <v>75</v>
      </c>
      <c r="L107" t="s">
        <v>208</v>
      </c>
      <c r="M107" t="s">
        <v>209</v>
      </c>
      <c r="N107" t="s">
        <v>31</v>
      </c>
      <c r="O107" t="s">
        <v>23</v>
      </c>
    </row>
    <row r="108" spans="1:15" x14ac:dyDescent="0.3">
      <c r="A108" s="2" t="s">
        <v>981</v>
      </c>
      <c r="B108" s="2">
        <v>45903</v>
      </c>
      <c r="C108" t="s">
        <v>253</v>
      </c>
      <c r="D108" t="s">
        <v>26</v>
      </c>
      <c r="E108" t="s">
        <v>27</v>
      </c>
      <c r="F108" t="s">
        <v>27</v>
      </c>
      <c r="G108" s="6">
        <v>2</v>
      </c>
      <c r="H108" s="3">
        <v>2128</v>
      </c>
      <c r="I108" s="5">
        <v>0.24</v>
      </c>
      <c r="J108" s="4">
        <v>465.58</v>
      </c>
      <c r="K108" t="s">
        <v>75</v>
      </c>
      <c r="L108" t="s">
        <v>60</v>
      </c>
      <c r="M108" t="s">
        <v>61</v>
      </c>
      <c r="N108" t="s">
        <v>38</v>
      </c>
      <c r="O108" t="s">
        <v>23</v>
      </c>
    </row>
    <row r="109" spans="1:15" x14ac:dyDescent="0.3">
      <c r="A109" s="2" t="s">
        <v>277</v>
      </c>
      <c r="B109" s="2">
        <v>45698</v>
      </c>
      <c r="C109" t="s">
        <v>278</v>
      </c>
      <c r="D109" t="s">
        <v>68</v>
      </c>
      <c r="E109" t="s">
        <v>237</v>
      </c>
      <c r="F109" t="s">
        <v>237</v>
      </c>
      <c r="G109" s="6">
        <v>1</v>
      </c>
      <c r="H109" s="3">
        <v>720</v>
      </c>
      <c r="I109" s="5">
        <v>0.2</v>
      </c>
      <c r="J109" s="4">
        <v>83.19</v>
      </c>
      <c r="K109" t="s">
        <v>28</v>
      </c>
      <c r="L109" t="s">
        <v>42</v>
      </c>
      <c r="M109" t="s">
        <v>43</v>
      </c>
      <c r="N109" t="s">
        <v>22</v>
      </c>
      <c r="O109" t="s">
        <v>23</v>
      </c>
    </row>
    <row r="110" spans="1:15" x14ac:dyDescent="0.3">
      <c r="A110" s="2" t="s">
        <v>516</v>
      </c>
      <c r="B110" s="2">
        <v>45755</v>
      </c>
      <c r="C110" t="s">
        <v>517</v>
      </c>
      <c r="D110" t="s">
        <v>17</v>
      </c>
      <c r="E110" t="s">
        <v>148</v>
      </c>
      <c r="F110" t="s">
        <v>148</v>
      </c>
      <c r="G110" s="6">
        <v>4</v>
      </c>
      <c r="H110" s="3">
        <v>78400</v>
      </c>
      <c r="I110" s="5">
        <v>0.3</v>
      </c>
      <c r="J110" s="4">
        <v>7417.26</v>
      </c>
      <c r="K110" t="s">
        <v>75</v>
      </c>
      <c r="L110" t="s">
        <v>134</v>
      </c>
      <c r="M110" t="s">
        <v>135</v>
      </c>
      <c r="N110" t="s">
        <v>55</v>
      </c>
      <c r="O110" t="s">
        <v>23</v>
      </c>
    </row>
    <row r="111" spans="1:15" x14ac:dyDescent="0.3">
      <c r="A111" s="2" t="s">
        <v>1145</v>
      </c>
      <c r="B111" s="2">
        <v>45967</v>
      </c>
      <c r="C111" t="s">
        <v>203</v>
      </c>
      <c r="D111" t="s">
        <v>47</v>
      </c>
      <c r="E111" t="s">
        <v>194</v>
      </c>
      <c r="F111" t="s">
        <v>194</v>
      </c>
      <c r="G111" s="6">
        <v>1</v>
      </c>
      <c r="H111" s="3">
        <v>48950</v>
      </c>
      <c r="I111" s="5">
        <v>0.11</v>
      </c>
      <c r="J111" s="4">
        <v>5601.66</v>
      </c>
      <c r="K111" t="s">
        <v>49</v>
      </c>
      <c r="L111" t="s">
        <v>97</v>
      </c>
      <c r="M111" t="s">
        <v>98</v>
      </c>
      <c r="N111" t="s">
        <v>31</v>
      </c>
      <c r="O111" t="s">
        <v>23</v>
      </c>
    </row>
    <row r="112" spans="1:15" x14ac:dyDescent="0.3">
      <c r="A112" s="2" t="s">
        <v>944</v>
      </c>
      <c r="B112" s="2">
        <v>45889</v>
      </c>
      <c r="C112" t="s">
        <v>196</v>
      </c>
      <c r="D112" t="s">
        <v>68</v>
      </c>
      <c r="E112" t="s">
        <v>120</v>
      </c>
      <c r="F112" t="s">
        <v>120</v>
      </c>
      <c r="G112" s="6">
        <v>2</v>
      </c>
      <c r="H112" s="3">
        <v>994</v>
      </c>
      <c r="I112" s="5">
        <v>0.28999999999999998</v>
      </c>
      <c r="J112" s="4">
        <v>181.29</v>
      </c>
      <c r="K112" t="s">
        <v>52</v>
      </c>
      <c r="L112" t="s">
        <v>149</v>
      </c>
      <c r="M112" t="s">
        <v>175</v>
      </c>
      <c r="N112" t="s">
        <v>38</v>
      </c>
      <c r="O112" t="s">
        <v>23</v>
      </c>
    </row>
    <row r="113" spans="1:15" x14ac:dyDescent="0.3">
      <c r="A113" s="2" t="s">
        <v>928</v>
      </c>
      <c r="B113" s="2">
        <v>45884</v>
      </c>
      <c r="C113" t="s">
        <v>63</v>
      </c>
      <c r="D113" t="s">
        <v>34</v>
      </c>
      <c r="E113" t="s">
        <v>41</v>
      </c>
      <c r="F113" t="s">
        <v>41</v>
      </c>
      <c r="G113" s="6">
        <v>1</v>
      </c>
      <c r="H113" s="3">
        <v>4450</v>
      </c>
      <c r="I113" s="5">
        <v>0.11</v>
      </c>
      <c r="J113" s="4">
        <v>878.7</v>
      </c>
      <c r="K113" t="s">
        <v>52</v>
      </c>
      <c r="L113" t="s">
        <v>208</v>
      </c>
      <c r="M113" t="s">
        <v>209</v>
      </c>
      <c r="N113" t="s">
        <v>31</v>
      </c>
      <c r="O113" t="s">
        <v>44</v>
      </c>
    </row>
    <row r="114" spans="1:15" x14ac:dyDescent="0.3">
      <c r="A114" s="2" t="s">
        <v>374</v>
      </c>
      <c r="B114" s="2">
        <v>45718</v>
      </c>
      <c r="C114" t="s">
        <v>351</v>
      </c>
      <c r="D114" t="s">
        <v>26</v>
      </c>
      <c r="E114" t="s">
        <v>133</v>
      </c>
      <c r="F114" t="s">
        <v>133</v>
      </c>
      <c r="G114" s="6">
        <v>3</v>
      </c>
      <c r="H114" s="3">
        <v>6468</v>
      </c>
      <c r="I114" s="5">
        <v>0.23</v>
      </c>
      <c r="J114" s="4">
        <v>1003.44</v>
      </c>
      <c r="K114" t="s">
        <v>28</v>
      </c>
      <c r="L114" t="s">
        <v>134</v>
      </c>
      <c r="M114" t="s">
        <v>135</v>
      </c>
      <c r="N114" t="s">
        <v>55</v>
      </c>
      <c r="O114" t="s">
        <v>44</v>
      </c>
    </row>
    <row r="115" spans="1:15" x14ac:dyDescent="0.3">
      <c r="A115" s="2" t="s">
        <v>1148</v>
      </c>
      <c r="B115" s="2">
        <v>45968</v>
      </c>
      <c r="C115" t="s">
        <v>453</v>
      </c>
      <c r="D115" t="s">
        <v>17</v>
      </c>
      <c r="E115" t="s">
        <v>148</v>
      </c>
      <c r="F115" t="s">
        <v>148</v>
      </c>
      <c r="G115" s="6">
        <v>3</v>
      </c>
      <c r="H115" s="3">
        <v>65520</v>
      </c>
      <c r="I115" s="5">
        <v>0.22</v>
      </c>
      <c r="J115" s="4">
        <v>8658.7099999999991</v>
      </c>
      <c r="K115" t="s">
        <v>28</v>
      </c>
      <c r="L115" t="s">
        <v>134</v>
      </c>
      <c r="M115" t="s">
        <v>135</v>
      </c>
      <c r="N115" t="s">
        <v>55</v>
      </c>
      <c r="O115" t="s">
        <v>44</v>
      </c>
    </row>
    <row r="116" spans="1:15" x14ac:dyDescent="0.3">
      <c r="A116" s="2" t="s">
        <v>1028</v>
      </c>
      <c r="B116" s="2">
        <v>45925</v>
      </c>
      <c r="C116" t="s">
        <v>415</v>
      </c>
      <c r="D116" t="s">
        <v>34</v>
      </c>
      <c r="E116" t="s">
        <v>107</v>
      </c>
      <c r="F116" t="s">
        <v>107</v>
      </c>
      <c r="G116" s="6">
        <v>5</v>
      </c>
      <c r="H116" s="3">
        <v>19125</v>
      </c>
      <c r="I116" s="5">
        <v>0.15</v>
      </c>
      <c r="J116" s="4">
        <v>2303.38</v>
      </c>
      <c r="K116" t="s">
        <v>52</v>
      </c>
      <c r="L116" t="s">
        <v>97</v>
      </c>
      <c r="M116" t="s">
        <v>163</v>
      </c>
      <c r="N116" t="s">
        <v>31</v>
      </c>
      <c r="O116" t="s">
        <v>23</v>
      </c>
    </row>
    <row r="117" spans="1:15" x14ac:dyDescent="0.3">
      <c r="A117" s="2" t="s">
        <v>83</v>
      </c>
      <c r="B117" s="2">
        <v>45664</v>
      </c>
      <c r="C117" t="s">
        <v>84</v>
      </c>
      <c r="D117" t="s">
        <v>17</v>
      </c>
      <c r="E117" t="s">
        <v>85</v>
      </c>
      <c r="F117" t="s">
        <v>85</v>
      </c>
      <c r="G117" s="6">
        <v>1</v>
      </c>
      <c r="H117" s="3">
        <v>6150</v>
      </c>
      <c r="I117" s="5">
        <v>0.18</v>
      </c>
      <c r="J117" s="4">
        <v>904.28</v>
      </c>
      <c r="K117" t="s">
        <v>49</v>
      </c>
      <c r="L117" t="s">
        <v>86</v>
      </c>
      <c r="M117" t="s">
        <v>87</v>
      </c>
      <c r="N117" t="s">
        <v>38</v>
      </c>
      <c r="O117" t="s">
        <v>23</v>
      </c>
    </row>
    <row r="118" spans="1:15" x14ac:dyDescent="0.3">
      <c r="A118" s="2" t="s">
        <v>1042</v>
      </c>
      <c r="B118" s="2">
        <v>45930</v>
      </c>
      <c r="C118" t="s">
        <v>296</v>
      </c>
      <c r="D118" t="s">
        <v>17</v>
      </c>
      <c r="E118" t="s">
        <v>18</v>
      </c>
      <c r="F118" t="s">
        <v>18</v>
      </c>
      <c r="G118" s="6">
        <v>3</v>
      </c>
      <c r="H118" s="3">
        <v>74700</v>
      </c>
      <c r="I118" s="5">
        <v>0.17</v>
      </c>
      <c r="J118" s="4">
        <v>6145.62</v>
      </c>
      <c r="K118" t="s">
        <v>49</v>
      </c>
      <c r="L118" t="s">
        <v>36</v>
      </c>
      <c r="M118" t="s">
        <v>37</v>
      </c>
      <c r="N118" t="s">
        <v>38</v>
      </c>
      <c r="O118" t="s">
        <v>23</v>
      </c>
    </row>
    <row r="119" spans="1:15" x14ac:dyDescent="0.3">
      <c r="A119" s="2" t="s">
        <v>786</v>
      </c>
      <c r="B119" s="2">
        <v>45840</v>
      </c>
      <c r="C119" t="s">
        <v>617</v>
      </c>
      <c r="D119" t="s">
        <v>26</v>
      </c>
      <c r="E119" t="s">
        <v>118</v>
      </c>
      <c r="F119" t="s">
        <v>118</v>
      </c>
      <c r="G119" s="6">
        <v>3</v>
      </c>
      <c r="H119" s="3">
        <v>4374</v>
      </c>
      <c r="I119" s="5">
        <v>0.19</v>
      </c>
      <c r="J119" s="4">
        <v>576.30999999999995</v>
      </c>
      <c r="K119" t="s">
        <v>75</v>
      </c>
      <c r="L119" t="s">
        <v>20</v>
      </c>
      <c r="M119" t="s">
        <v>21</v>
      </c>
      <c r="N119" t="s">
        <v>22</v>
      </c>
      <c r="O119" t="s">
        <v>44</v>
      </c>
    </row>
    <row r="120" spans="1:15" x14ac:dyDescent="0.3">
      <c r="A120" s="2" t="s">
        <v>557</v>
      </c>
      <c r="B120" s="2">
        <v>45765</v>
      </c>
      <c r="C120" t="s">
        <v>343</v>
      </c>
      <c r="D120" t="s">
        <v>47</v>
      </c>
      <c r="E120" t="s">
        <v>48</v>
      </c>
      <c r="F120" t="s">
        <v>48</v>
      </c>
      <c r="G120" s="6">
        <v>3</v>
      </c>
      <c r="H120" s="3">
        <v>65250</v>
      </c>
      <c r="I120" s="5">
        <v>0.13</v>
      </c>
      <c r="J120" s="4">
        <v>6492.57</v>
      </c>
      <c r="K120" t="s">
        <v>28</v>
      </c>
      <c r="L120" t="s">
        <v>20</v>
      </c>
      <c r="M120" t="s">
        <v>21</v>
      </c>
      <c r="N120" t="s">
        <v>22</v>
      </c>
      <c r="O120" t="s">
        <v>23</v>
      </c>
    </row>
    <row r="121" spans="1:15" x14ac:dyDescent="0.3">
      <c r="A121" s="2" t="s">
        <v>1127</v>
      </c>
      <c r="B121" s="2">
        <v>45959</v>
      </c>
      <c r="C121" t="s">
        <v>130</v>
      </c>
      <c r="D121" t="s">
        <v>58</v>
      </c>
      <c r="E121" t="s">
        <v>138</v>
      </c>
      <c r="F121" t="s">
        <v>138</v>
      </c>
      <c r="G121" s="6">
        <v>1</v>
      </c>
      <c r="H121" s="3">
        <v>1914</v>
      </c>
      <c r="I121" s="5">
        <v>0.13</v>
      </c>
      <c r="J121" s="4">
        <v>187.35</v>
      </c>
      <c r="K121" t="s">
        <v>65</v>
      </c>
      <c r="L121" t="s">
        <v>121</v>
      </c>
      <c r="M121" t="s">
        <v>122</v>
      </c>
      <c r="N121" t="s">
        <v>55</v>
      </c>
      <c r="O121" t="s">
        <v>44</v>
      </c>
    </row>
    <row r="122" spans="1:15" x14ac:dyDescent="0.3">
      <c r="A122" s="2" t="s">
        <v>1286</v>
      </c>
      <c r="B122" s="2">
        <v>46016</v>
      </c>
      <c r="C122" t="s">
        <v>453</v>
      </c>
      <c r="D122" t="s">
        <v>34</v>
      </c>
      <c r="E122" t="s">
        <v>35</v>
      </c>
      <c r="F122" t="s">
        <v>35</v>
      </c>
      <c r="G122" s="6">
        <v>2</v>
      </c>
      <c r="H122" s="3">
        <v>2136</v>
      </c>
      <c r="I122" s="5">
        <v>0.11</v>
      </c>
      <c r="J122" s="4">
        <v>347.11</v>
      </c>
      <c r="K122" t="s">
        <v>65</v>
      </c>
      <c r="L122" t="s">
        <v>53</v>
      </c>
      <c r="M122" t="s">
        <v>54</v>
      </c>
      <c r="N122" t="s">
        <v>55</v>
      </c>
      <c r="O122" t="s">
        <v>23</v>
      </c>
    </row>
    <row r="123" spans="1:15" x14ac:dyDescent="0.3">
      <c r="A123" s="2" t="s">
        <v>820</v>
      </c>
      <c r="B123" s="2">
        <v>45850</v>
      </c>
      <c r="C123" t="s">
        <v>821</v>
      </c>
      <c r="D123" t="s">
        <v>34</v>
      </c>
      <c r="E123" t="s">
        <v>107</v>
      </c>
      <c r="F123" t="s">
        <v>107</v>
      </c>
      <c r="G123" s="6">
        <v>4</v>
      </c>
      <c r="H123" s="3">
        <v>15660</v>
      </c>
      <c r="I123" s="5">
        <v>0.13</v>
      </c>
      <c r="J123" s="4">
        <v>1690.04</v>
      </c>
      <c r="K123" t="s">
        <v>65</v>
      </c>
      <c r="L123" t="s">
        <v>149</v>
      </c>
      <c r="M123" t="s">
        <v>150</v>
      </c>
      <c r="N123" t="s">
        <v>38</v>
      </c>
      <c r="O123" t="s">
        <v>44</v>
      </c>
    </row>
    <row r="124" spans="1:15" x14ac:dyDescent="0.3">
      <c r="A124" s="2" t="s">
        <v>832</v>
      </c>
      <c r="B124" s="2">
        <v>45855</v>
      </c>
      <c r="C124" t="s">
        <v>322</v>
      </c>
      <c r="D124" t="s">
        <v>26</v>
      </c>
      <c r="E124" t="s">
        <v>188</v>
      </c>
      <c r="F124" t="s">
        <v>188</v>
      </c>
      <c r="G124" s="6">
        <v>1</v>
      </c>
      <c r="H124" s="3">
        <v>2370</v>
      </c>
      <c r="I124" s="5">
        <v>0.21</v>
      </c>
      <c r="J124" s="4">
        <v>475.25</v>
      </c>
      <c r="K124" t="s">
        <v>19</v>
      </c>
      <c r="L124" t="s">
        <v>20</v>
      </c>
      <c r="M124" t="s">
        <v>21</v>
      </c>
      <c r="N124" t="s">
        <v>22</v>
      </c>
      <c r="O124" t="s">
        <v>23</v>
      </c>
    </row>
    <row r="125" spans="1:15" x14ac:dyDescent="0.3">
      <c r="A125" s="2" t="s">
        <v>1156</v>
      </c>
      <c r="B125" s="2">
        <v>45970</v>
      </c>
      <c r="C125" t="s">
        <v>526</v>
      </c>
      <c r="D125" t="s">
        <v>58</v>
      </c>
      <c r="E125" t="s">
        <v>59</v>
      </c>
      <c r="F125" t="s">
        <v>59</v>
      </c>
      <c r="G125" s="6">
        <v>4</v>
      </c>
      <c r="H125" s="3">
        <v>1404</v>
      </c>
      <c r="I125" s="5">
        <v>0.22</v>
      </c>
      <c r="J125" s="4">
        <v>230.86</v>
      </c>
      <c r="K125" t="s">
        <v>28</v>
      </c>
      <c r="L125" t="s">
        <v>60</v>
      </c>
      <c r="M125" t="s">
        <v>61</v>
      </c>
      <c r="N125" t="s">
        <v>38</v>
      </c>
      <c r="O125" t="s">
        <v>23</v>
      </c>
    </row>
    <row r="126" spans="1:15" x14ac:dyDescent="0.3">
      <c r="A126" s="2" t="s">
        <v>767</v>
      </c>
      <c r="B126" s="2">
        <v>45834</v>
      </c>
      <c r="C126" t="s">
        <v>768</v>
      </c>
      <c r="D126" t="s">
        <v>17</v>
      </c>
      <c r="E126" t="s">
        <v>85</v>
      </c>
      <c r="F126" t="s">
        <v>85</v>
      </c>
      <c r="G126" s="6">
        <v>1</v>
      </c>
      <c r="H126" s="3">
        <v>6000</v>
      </c>
      <c r="I126" s="5">
        <v>0.2</v>
      </c>
      <c r="J126" s="4">
        <v>1148.08</v>
      </c>
      <c r="K126" t="s">
        <v>49</v>
      </c>
      <c r="L126" t="s">
        <v>97</v>
      </c>
      <c r="M126" t="s">
        <v>163</v>
      </c>
      <c r="N126" t="s">
        <v>31</v>
      </c>
      <c r="O126" t="s">
        <v>23</v>
      </c>
    </row>
    <row r="127" spans="1:15" x14ac:dyDescent="0.3">
      <c r="A127" s="2" t="s">
        <v>895</v>
      </c>
      <c r="B127" s="2">
        <v>45873</v>
      </c>
      <c r="C127" t="s">
        <v>370</v>
      </c>
      <c r="D127" t="s">
        <v>47</v>
      </c>
      <c r="E127" t="s">
        <v>74</v>
      </c>
      <c r="F127" t="s">
        <v>74</v>
      </c>
      <c r="G127" s="6">
        <v>1</v>
      </c>
      <c r="H127" s="3">
        <v>16560</v>
      </c>
      <c r="I127" s="5">
        <v>0.08</v>
      </c>
      <c r="J127" s="4">
        <v>1530.3</v>
      </c>
      <c r="K127" t="s">
        <v>52</v>
      </c>
      <c r="L127" t="s">
        <v>70</v>
      </c>
      <c r="M127" t="s">
        <v>71</v>
      </c>
      <c r="N127" t="s">
        <v>55</v>
      </c>
      <c r="O127" t="s">
        <v>44</v>
      </c>
    </row>
    <row r="128" spans="1:15" x14ac:dyDescent="0.3">
      <c r="A128" s="2" t="s">
        <v>518</v>
      </c>
      <c r="B128" s="2">
        <v>45755</v>
      </c>
      <c r="C128" t="s">
        <v>145</v>
      </c>
      <c r="D128" t="s">
        <v>17</v>
      </c>
      <c r="E128" t="s">
        <v>90</v>
      </c>
      <c r="F128" t="s">
        <v>90</v>
      </c>
      <c r="G128" s="6">
        <v>4</v>
      </c>
      <c r="H128" s="3">
        <v>17600</v>
      </c>
      <c r="I128" s="5">
        <v>0.12</v>
      </c>
      <c r="J128" s="4">
        <v>1620.94</v>
      </c>
      <c r="K128" t="s">
        <v>49</v>
      </c>
      <c r="L128" t="s">
        <v>208</v>
      </c>
      <c r="M128" t="s">
        <v>209</v>
      </c>
      <c r="N128" t="s">
        <v>31</v>
      </c>
      <c r="O128" t="s">
        <v>44</v>
      </c>
    </row>
    <row r="129" spans="1:15" x14ac:dyDescent="0.3">
      <c r="A129" s="2" t="s">
        <v>111</v>
      </c>
      <c r="B129" s="2">
        <v>45666</v>
      </c>
      <c r="C129" t="s">
        <v>112</v>
      </c>
      <c r="D129" t="s">
        <v>34</v>
      </c>
      <c r="E129" t="s">
        <v>107</v>
      </c>
      <c r="F129" t="s">
        <v>107</v>
      </c>
      <c r="G129" s="6">
        <v>3</v>
      </c>
      <c r="H129" s="3">
        <v>11610</v>
      </c>
      <c r="I129" s="5">
        <v>0.14000000000000001</v>
      </c>
      <c r="J129" s="4">
        <v>1575.95</v>
      </c>
      <c r="K129" t="s">
        <v>65</v>
      </c>
      <c r="L129" t="s">
        <v>36</v>
      </c>
      <c r="M129" t="s">
        <v>37</v>
      </c>
      <c r="N129" t="s">
        <v>38</v>
      </c>
      <c r="O129" t="s">
        <v>44</v>
      </c>
    </row>
    <row r="130" spans="1:15" x14ac:dyDescent="0.3">
      <c r="A130" s="2" t="s">
        <v>260</v>
      </c>
      <c r="B130" s="2">
        <v>45694</v>
      </c>
      <c r="C130" t="s">
        <v>261</v>
      </c>
      <c r="D130" t="s">
        <v>17</v>
      </c>
      <c r="E130" t="s">
        <v>158</v>
      </c>
      <c r="F130" t="s">
        <v>158</v>
      </c>
      <c r="G130" s="6">
        <v>2</v>
      </c>
      <c r="H130" s="3">
        <v>36080</v>
      </c>
      <c r="I130" s="5">
        <v>0.18</v>
      </c>
      <c r="J130" s="4">
        <v>4898.29</v>
      </c>
      <c r="K130" t="s">
        <v>75</v>
      </c>
      <c r="L130" t="s">
        <v>159</v>
      </c>
      <c r="M130" t="s">
        <v>160</v>
      </c>
      <c r="N130" t="s">
        <v>38</v>
      </c>
      <c r="O130" t="s">
        <v>44</v>
      </c>
    </row>
    <row r="131" spans="1:15" x14ac:dyDescent="0.3">
      <c r="A131" s="2" t="s">
        <v>274</v>
      </c>
      <c r="B131" s="2">
        <v>45697</v>
      </c>
      <c r="C131" t="s">
        <v>275</v>
      </c>
      <c r="D131" t="s">
        <v>58</v>
      </c>
      <c r="E131" t="s">
        <v>178</v>
      </c>
      <c r="F131" t="s">
        <v>178</v>
      </c>
      <c r="G131" s="6">
        <v>1</v>
      </c>
      <c r="H131" s="3">
        <v>526.5</v>
      </c>
      <c r="I131" s="5">
        <v>0.19</v>
      </c>
      <c r="J131" s="4">
        <v>93.53</v>
      </c>
      <c r="K131" t="s">
        <v>65</v>
      </c>
      <c r="L131" t="s">
        <v>170</v>
      </c>
      <c r="M131" t="s">
        <v>171</v>
      </c>
      <c r="N131" t="s">
        <v>31</v>
      </c>
      <c r="O131" t="s">
        <v>44</v>
      </c>
    </row>
    <row r="132" spans="1:15" x14ac:dyDescent="0.3">
      <c r="A132" s="2" t="s">
        <v>1030</v>
      </c>
      <c r="B132" s="2">
        <v>45926</v>
      </c>
      <c r="C132" t="s">
        <v>167</v>
      </c>
      <c r="D132" t="s">
        <v>26</v>
      </c>
      <c r="E132" t="s">
        <v>133</v>
      </c>
      <c r="F132" t="s">
        <v>133</v>
      </c>
      <c r="G132" s="6">
        <v>2</v>
      </c>
      <c r="H132" s="3">
        <v>4256</v>
      </c>
      <c r="I132" s="5">
        <v>0.24</v>
      </c>
      <c r="J132" s="4">
        <v>886.49</v>
      </c>
      <c r="K132" t="s">
        <v>65</v>
      </c>
      <c r="L132" t="s">
        <v>60</v>
      </c>
      <c r="M132" t="s">
        <v>61</v>
      </c>
      <c r="N132" t="s">
        <v>38</v>
      </c>
      <c r="O132" t="s">
        <v>23</v>
      </c>
    </row>
    <row r="133" spans="1:15" x14ac:dyDescent="0.3">
      <c r="A133" s="2" t="s">
        <v>987</v>
      </c>
      <c r="B133" s="2">
        <v>45906</v>
      </c>
      <c r="C133" t="s">
        <v>773</v>
      </c>
      <c r="D133" t="s">
        <v>95</v>
      </c>
      <c r="E133" t="s">
        <v>185</v>
      </c>
      <c r="F133" t="s">
        <v>185</v>
      </c>
      <c r="G133" s="6">
        <v>3</v>
      </c>
      <c r="H133" s="3">
        <v>2916</v>
      </c>
      <c r="I133" s="5">
        <v>0.19</v>
      </c>
      <c r="J133" s="4">
        <v>455.44</v>
      </c>
      <c r="K133" t="s">
        <v>65</v>
      </c>
      <c r="L133" t="s">
        <v>53</v>
      </c>
      <c r="M133" t="s">
        <v>54</v>
      </c>
      <c r="N133" t="s">
        <v>55</v>
      </c>
      <c r="O133" t="s">
        <v>23</v>
      </c>
    </row>
    <row r="134" spans="1:15" x14ac:dyDescent="0.3">
      <c r="A134" s="2" t="s">
        <v>917</v>
      </c>
      <c r="B134" s="2">
        <v>45881</v>
      </c>
      <c r="C134" t="s">
        <v>918</v>
      </c>
      <c r="D134" t="s">
        <v>17</v>
      </c>
      <c r="E134" t="s">
        <v>158</v>
      </c>
      <c r="F134" t="s">
        <v>158</v>
      </c>
      <c r="G134" s="6">
        <v>1</v>
      </c>
      <c r="H134" s="3">
        <v>18700</v>
      </c>
      <c r="I134" s="5">
        <v>0.15</v>
      </c>
      <c r="J134" s="4">
        <v>2129.19</v>
      </c>
      <c r="K134" t="s">
        <v>65</v>
      </c>
      <c r="L134" t="s">
        <v>36</v>
      </c>
      <c r="M134" t="s">
        <v>37</v>
      </c>
      <c r="N134" t="s">
        <v>38</v>
      </c>
      <c r="O134" t="s">
        <v>23</v>
      </c>
    </row>
    <row r="135" spans="1:15" x14ac:dyDescent="0.3">
      <c r="A135" s="2" t="s">
        <v>426</v>
      </c>
      <c r="B135" s="2">
        <v>45731</v>
      </c>
      <c r="C135" t="s">
        <v>251</v>
      </c>
      <c r="D135" t="s">
        <v>95</v>
      </c>
      <c r="E135" t="s">
        <v>125</v>
      </c>
      <c r="F135" t="s">
        <v>125</v>
      </c>
      <c r="G135" s="6">
        <v>1</v>
      </c>
      <c r="H135" s="3">
        <v>1440</v>
      </c>
      <c r="I135" s="5">
        <v>0.2</v>
      </c>
      <c r="J135" s="4">
        <v>164.11</v>
      </c>
      <c r="K135" t="s">
        <v>28</v>
      </c>
      <c r="L135" t="s">
        <v>149</v>
      </c>
      <c r="M135" t="s">
        <v>175</v>
      </c>
      <c r="N135" t="s">
        <v>38</v>
      </c>
      <c r="O135" t="s">
        <v>23</v>
      </c>
    </row>
    <row r="136" spans="1:15" x14ac:dyDescent="0.3">
      <c r="A136" s="2" t="s">
        <v>964</v>
      </c>
      <c r="B136" s="2">
        <v>45899</v>
      </c>
      <c r="C136" t="s">
        <v>965</v>
      </c>
      <c r="D136" t="s">
        <v>47</v>
      </c>
      <c r="E136" t="s">
        <v>240</v>
      </c>
      <c r="F136" t="s">
        <v>240</v>
      </c>
      <c r="G136" s="6">
        <v>1</v>
      </c>
      <c r="H136" s="3">
        <v>2050</v>
      </c>
      <c r="I136" s="5">
        <v>0.18</v>
      </c>
      <c r="J136" s="4">
        <v>337.07</v>
      </c>
      <c r="K136" t="s">
        <v>19</v>
      </c>
      <c r="L136" t="s">
        <v>36</v>
      </c>
      <c r="M136" t="s">
        <v>128</v>
      </c>
      <c r="N136" t="s">
        <v>38</v>
      </c>
      <c r="O136" t="s">
        <v>23</v>
      </c>
    </row>
    <row r="137" spans="1:15" x14ac:dyDescent="0.3">
      <c r="A137" s="2" t="s">
        <v>1032</v>
      </c>
      <c r="B137" s="2">
        <v>45927</v>
      </c>
      <c r="C137" t="s">
        <v>661</v>
      </c>
      <c r="D137" t="s">
        <v>58</v>
      </c>
      <c r="E137" t="s">
        <v>138</v>
      </c>
      <c r="F137" t="s">
        <v>138</v>
      </c>
      <c r="G137" s="6">
        <v>2</v>
      </c>
      <c r="H137" s="3">
        <v>3564</v>
      </c>
      <c r="I137" s="5">
        <v>0.19</v>
      </c>
      <c r="J137" s="4">
        <v>723.97</v>
      </c>
      <c r="K137" t="s">
        <v>28</v>
      </c>
      <c r="L137" t="s">
        <v>42</v>
      </c>
      <c r="M137" t="s">
        <v>43</v>
      </c>
      <c r="N137" t="s">
        <v>22</v>
      </c>
      <c r="O137" t="s">
        <v>44</v>
      </c>
    </row>
    <row r="138" spans="1:15" x14ac:dyDescent="0.3">
      <c r="A138" s="2" t="s">
        <v>454</v>
      </c>
      <c r="B138" s="2">
        <v>45736</v>
      </c>
      <c r="C138" t="s">
        <v>142</v>
      </c>
      <c r="D138" t="s">
        <v>95</v>
      </c>
      <c r="E138" t="s">
        <v>125</v>
      </c>
      <c r="F138" t="s">
        <v>125</v>
      </c>
      <c r="G138" s="6">
        <v>1</v>
      </c>
      <c r="H138" s="3">
        <v>1512</v>
      </c>
      <c r="I138" s="5">
        <v>0.16</v>
      </c>
      <c r="J138" s="4">
        <v>180.5</v>
      </c>
      <c r="K138" t="s">
        <v>52</v>
      </c>
      <c r="L138" t="s">
        <v>149</v>
      </c>
      <c r="M138" t="s">
        <v>150</v>
      </c>
      <c r="N138" t="s">
        <v>38</v>
      </c>
      <c r="O138" t="s">
        <v>44</v>
      </c>
    </row>
    <row r="139" spans="1:15" x14ac:dyDescent="0.3">
      <c r="A139" s="2" t="s">
        <v>272</v>
      </c>
      <c r="B139" s="2">
        <v>45696</v>
      </c>
      <c r="C139" t="s">
        <v>273</v>
      </c>
      <c r="D139" t="s">
        <v>34</v>
      </c>
      <c r="E139" t="s">
        <v>107</v>
      </c>
      <c r="F139" t="s">
        <v>107</v>
      </c>
      <c r="G139" s="6">
        <v>3</v>
      </c>
      <c r="H139" s="3">
        <v>11880</v>
      </c>
      <c r="I139" s="5">
        <v>0.12</v>
      </c>
      <c r="J139" s="4">
        <v>1804.9</v>
      </c>
      <c r="K139" t="s">
        <v>19</v>
      </c>
      <c r="L139" t="s">
        <v>36</v>
      </c>
      <c r="M139" t="s">
        <v>37</v>
      </c>
      <c r="N139" t="s">
        <v>38</v>
      </c>
      <c r="O139" t="s">
        <v>23</v>
      </c>
    </row>
    <row r="140" spans="1:15" x14ac:dyDescent="0.3">
      <c r="A140" s="2" t="s">
        <v>1230</v>
      </c>
      <c r="B140" s="2">
        <v>45994</v>
      </c>
      <c r="C140" t="s">
        <v>337</v>
      </c>
      <c r="D140" t="s">
        <v>58</v>
      </c>
      <c r="E140" t="s">
        <v>77</v>
      </c>
      <c r="F140" t="s">
        <v>77</v>
      </c>
      <c r="G140" s="6">
        <v>2</v>
      </c>
      <c r="H140" s="3">
        <v>3240</v>
      </c>
      <c r="I140" s="5">
        <v>0.1</v>
      </c>
      <c r="J140" s="4">
        <v>569.70000000000005</v>
      </c>
      <c r="K140" t="s">
        <v>75</v>
      </c>
      <c r="L140" t="s">
        <v>60</v>
      </c>
      <c r="M140" t="s">
        <v>61</v>
      </c>
      <c r="N140" t="s">
        <v>38</v>
      </c>
      <c r="O140" t="s">
        <v>23</v>
      </c>
    </row>
    <row r="141" spans="1:15" x14ac:dyDescent="0.3">
      <c r="A141" s="2" t="s">
        <v>1060</v>
      </c>
      <c r="B141" s="2">
        <v>45938</v>
      </c>
      <c r="C141" t="s">
        <v>152</v>
      </c>
      <c r="D141" t="s">
        <v>26</v>
      </c>
      <c r="E141" t="s">
        <v>188</v>
      </c>
      <c r="F141" t="s">
        <v>188</v>
      </c>
      <c r="G141" s="6">
        <v>1</v>
      </c>
      <c r="H141" s="3">
        <v>2490</v>
      </c>
      <c r="I141" s="5">
        <v>0.17</v>
      </c>
      <c r="J141" s="4">
        <v>467.95</v>
      </c>
      <c r="K141" t="s">
        <v>65</v>
      </c>
      <c r="L141" t="s">
        <v>170</v>
      </c>
      <c r="M141" t="s">
        <v>171</v>
      </c>
      <c r="N141" t="s">
        <v>31</v>
      </c>
      <c r="O141" t="s">
        <v>44</v>
      </c>
    </row>
    <row r="142" spans="1:15" x14ac:dyDescent="0.3">
      <c r="A142" s="2" t="s">
        <v>105</v>
      </c>
      <c r="B142" s="2">
        <v>45665</v>
      </c>
      <c r="C142" t="s">
        <v>106</v>
      </c>
      <c r="D142" t="s">
        <v>34</v>
      </c>
      <c r="E142" t="s">
        <v>107</v>
      </c>
      <c r="F142" t="s">
        <v>107</v>
      </c>
      <c r="G142" s="6">
        <v>1</v>
      </c>
      <c r="H142" s="3">
        <v>3780</v>
      </c>
      <c r="I142" s="5">
        <v>0.16</v>
      </c>
      <c r="J142" s="4">
        <v>617</v>
      </c>
      <c r="K142" t="s">
        <v>28</v>
      </c>
      <c r="L142" t="s">
        <v>42</v>
      </c>
      <c r="M142" t="s">
        <v>43</v>
      </c>
      <c r="N142" t="s">
        <v>22</v>
      </c>
      <c r="O142" t="s">
        <v>23</v>
      </c>
    </row>
    <row r="143" spans="1:15" x14ac:dyDescent="0.3">
      <c r="A143" s="2" t="s">
        <v>305</v>
      </c>
      <c r="B143" s="2">
        <v>45703</v>
      </c>
      <c r="C143" t="s">
        <v>207</v>
      </c>
      <c r="D143" t="s">
        <v>34</v>
      </c>
      <c r="E143" t="s">
        <v>107</v>
      </c>
      <c r="F143" t="s">
        <v>107</v>
      </c>
      <c r="G143" s="6">
        <v>4</v>
      </c>
      <c r="H143" s="3">
        <v>16380</v>
      </c>
      <c r="I143" s="5">
        <v>0.09</v>
      </c>
      <c r="J143" s="4">
        <v>2377.62</v>
      </c>
      <c r="K143" t="s">
        <v>19</v>
      </c>
      <c r="L143" t="s">
        <v>208</v>
      </c>
      <c r="M143" t="s">
        <v>209</v>
      </c>
      <c r="N143" t="s">
        <v>31</v>
      </c>
      <c r="O143" t="s">
        <v>44</v>
      </c>
    </row>
    <row r="144" spans="1:15" x14ac:dyDescent="0.3">
      <c r="A144" s="2" t="s">
        <v>420</v>
      </c>
      <c r="B144" s="2">
        <v>45729</v>
      </c>
      <c r="C144" t="s">
        <v>198</v>
      </c>
      <c r="D144" t="s">
        <v>17</v>
      </c>
      <c r="E144" t="s">
        <v>90</v>
      </c>
      <c r="F144" t="s">
        <v>90</v>
      </c>
      <c r="G144" s="6">
        <v>1</v>
      </c>
      <c r="H144" s="3">
        <v>4250</v>
      </c>
      <c r="I144" s="5">
        <v>0.15</v>
      </c>
      <c r="J144" s="4">
        <v>209.96</v>
      </c>
      <c r="K144" t="s">
        <v>49</v>
      </c>
      <c r="L144" t="s">
        <v>60</v>
      </c>
      <c r="M144" t="s">
        <v>61</v>
      </c>
      <c r="N144" t="s">
        <v>38</v>
      </c>
      <c r="O144" t="s">
        <v>23</v>
      </c>
    </row>
    <row r="145" spans="1:15" x14ac:dyDescent="0.3">
      <c r="A145" s="2" t="s">
        <v>1023</v>
      </c>
      <c r="B145" s="2">
        <v>45924</v>
      </c>
      <c r="C145" t="s">
        <v>142</v>
      </c>
      <c r="D145" t="s">
        <v>26</v>
      </c>
      <c r="E145" t="s">
        <v>27</v>
      </c>
      <c r="F145" t="s">
        <v>27</v>
      </c>
      <c r="G145" s="6">
        <v>1</v>
      </c>
      <c r="H145" s="3">
        <v>1134</v>
      </c>
      <c r="I145" s="5">
        <v>0.19</v>
      </c>
      <c r="J145" s="4">
        <v>204.03</v>
      </c>
      <c r="K145" t="s">
        <v>19</v>
      </c>
      <c r="L145" t="s">
        <v>78</v>
      </c>
      <c r="M145" t="s">
        <v>79</v>
      </c>
      <c r="N145" t="s">
        <v>22</v>
      </c>
      <c r="O145" t="s">
        <v>23</v>
      </c>
    </row>
    <row r="146" spans="1:15" x14ac:dyDescent="0.3">
      <c r="A146" s="2" t="s">
        <v>844</v>
      </c>
      <c r="B146" s="2">
        <v>45859</v>
      </c>
      <c r="C146" t="s">
        <v>266</v>
      </c>
      <c r="D146" t="s">
        <v>95</v>
      </c>
      <c r="E146" t="s">
        <v>125</v>
      </c>
      <c r="F146" t="s">
        <v>125</v>
      </c>
      <c r="G146" s="6">
        <v>1</v>
      </c>
      <c r="H146" s="3">
        <v>1494</v>
      </c>
      <c r="I146" s="5">
        <v>0.17</v>
      </c>
      <c r="J146" s="4">
        <v>147.84</v>
      </c>
      <c r="K146" t="s">
        <v>52</v>
      </c>
      <c r="L146" t="s">
        <v>36</v>
      </c>
      <c r="M146" t="s">
        <v>128</v>
      </c>
      <c r="N146" t="s">
        <v>38</v>
      </c>
      <c r="O146" t="s">
        <v>23</v>
      </c>
    </row>
    <row r="147" spans="1:15" x14ac:dyDescent="0.3">
      <c r="A147" s="2" t="s">
        <v>708</v>
      </c>
      <c r="B147" s="2">
        <v>45811</v>
      </c>
      <c r="C147" t="s">
        <v>271</v>
      </c>
      <c r="D147" t="s">
        <v>26</v>
      </c>
      <c r="E147" t="s">
        <v>27</v>
      </c>
      <c r="F147" t="s">
        <v>27</v>
      </c>
      <c r="G147" s="6">
        <v>3</v>
      </c>
      <c r="H147" s="3">
        <v>3318</v>
      </c>
      <c r="I147" s="5">
        <v>0.21</v>
      </c>
      <c r="J147" s="4">
        <v>542.27</v>
      </c>
      <c r="K147" t="s">
        <v>75</v>
      </c>
      <c r="L147" t="s">
        <v>78</v>
      </c>
      <c r="M147" t="s">
        <v>79</v>
      </c>
      <c r="N147" t="s">
        <v>22</v>
      </c>
      <c r="O147" t="s">
        <v>23</v>
      </c>
    </row>
    <row r="148" spans="1:15" x14ac:dyDescent="0.3">
      <c r="A148" s="2" t="s">
        <v>547</v>
      </c>
      <c r="B148" s="2">
        <v>45763</v>
      </c>
      <c r="C148" t="s">
        <v>201</v>
      </c>
      <c r="D148" t="s">
        <v>17</v>
      </c>
      <c r="E148" t="s">
        <v>90</v>
      </c>
      <c r="F148" t="s">
        <v>90</v>
      </c>
      <c r="G148" s="6">
        <v>1</v>
      </c>
      <c r="H148" s="3">
        <v>4100</v>
      </c>
      <c r="I148" s="5">
        <v>0.18</v>
      </c>
      <c r="J148" s="4">
        <v>541.23</v>
      </c>
      <c r="K148" t="s">
        <v>52</v>
      </c>
      <c r="L148" t="s">
        <v>208</v>
      </c>
      <c r="M148" t="s">
        <v>209</v>
      </c>
      <c r="N148" t="s">
        <v>31</v>
      </c>
      <c r="O148" t="s">
        <v>23</v>
      </c>
    </row>
    <row r="149" spans="1:15" x14ac:dyDescent="0.3">
      <c r="A149" s="2" t="s">
        <v>1198</v>
      </c>
      <c r="B149" s="2">
        <v>45985</v>
      </c>
      <c r="C149" t="s">
        <v>663</v>
      </c>
      <c r="D149" t="s">
        <v>58</v>
      </c>
      <c r="E149" t="s">
        <v>77</v>
      </c>
      <c r="F149" t="s">
        <v>77</v>
      </c>
      <c r="G149" s="6">
        <v>2</v>
      </c>
      <c r="H149" s="3">
        <v>2880</v>
      </c>
      <c r="I149" s="5">
        <v>0.2</v>
      </c>
      <c r="J149" s="4">
        <v>508.66</v>
      </c>
      <c r="K149" t="s">
        <v>49</v>
      </c>
      <c r="L149" t="s">
        <v>29</v>
      </c>
      <c r="M149" t="s">
        <v>30</v>
      </c>
      <c r="N149" t="s">
        <v>31</v>
      </c>
      <c r="O149" t="s">
        <v>23</v>
      </c>
    </row>
    <row r="150" spans="1:15" x14ac:dyDescent="0.3">
      <c r="A150" s="2" t="s">
        <v>1159</v>
      </c>
      <c r="B150" s="2">
        <v>45971</v>
      </c>
      <c r="C150" t="s">
        <v>226</v>
      </c>
      <c r="D150" t="s">
        <v>26</v>
      </c>
      <c r="E150" t="s">
        <v>27</v>
      </c>
      <c r="F150" t="s">
        <v>27</v>
      </c>
      <c r="G150" s="6">
        <v>5</v>
      </c>
      <c r="H150" s="3">
        <v>5740</v>
      </c>
      <c r="I150" s="5">
        <v>0.18</v>
      </c>
      <c r="J150" s="4">
        <v>1087.1400000000001</v>
      </c>
      <c r="K150" t="s">
        <v>19</v>
      </c>
      <c r="L150" t="s">
        <v>97</v>
      </c>
      <c r="M150" t="s">
        <v>163</v>
      </c>
      <c r="N150" t="s">
        <v>31</v>
      </c>
      <c r="O150" t="s">
        <v>44</v>
      </c>
    </row>
    <row r="151" spans="1:15" x14ac:dyDescent="0.3">
      <c r="A151" s="2" t="s">
        <v>116</v>
      </c>
      <c r="B151" s="2">
        <v>45669</v>
      </c>
      <c r="C151" t="s">
        <v>117</v>
      </c>
      <c r="D151" t="s">
        <v>26</v>
      </c>
      <c r="E151" t="s">
        <v>118</v>
      </c>
      <c r="F151" t="s">
        <v>118</v>
      </c>
      <c r="G151" s="6">
        <v>4</v>
      </c>
      <c r="H151" s="3">
        <v>5976</v>
      </c>
      <c r="I151" s="5">
        <v>0.17</v>
      </c>
      <c r="J151" s="4">
        <v>1139.05</v>
      </c>
      <c r="K151" t="s">
        <v>65</v>
      </c>
      <c r="L151" t="s">
        <v>78</v>
      </c>
      <c r="M151" t="s">
        <v>79</v>
      </c>
      <c r="N151" t="s">
        <v>22</v>
      </c>
      <c r="O151" t="s">
        <v>23</v>
      </c>
    </row>
    <row r="152" spans="1:15" x14ac:dyDescent="0.3">
      <c r="A152" s="2" t="s">
        <v>1144</v>
      </c>
      <c r="B152" s="2">
        <v>45966</v>
      </c>
      <c r="C152" t="s">
        <v>314</v>
      </c>
      <c r="D152" t="s">
        <v>95</v>
      </c>
      <c r="E152" t="s">
        <v>125</v>
      </c>
      <c r="F152" t="s">
        <v>125</v>
      </c>
      <c r="G152" s="6">
        <v>1</v>
      </c>
      <c r="H152" s="3">
        <v>1602</v>
      </c>
      <c r="I152" s="5">
        <v>0.11</v>
      </c>
      <c r="J152" s="4">
        <v>288.3</v>
      </c>
      <c r="K152" t="s">
        <v>49</v>
      </c>
      <c r="L152" t="s">
        <v>208</v>
      </c>
      <c r="M152" t="s">
        <v>209</v>
      </c>
      <c r="N152" t="s">
        <v>31</v>
      </c>
      <c r="O152" t="s">
        <v>44</v>
      </c>
    </row>
    <row r="153" spans="1:15" x14ac:dyDescent="0.3">
      <c r="A153" s="2" t="s">
        <v>245</v>
      </c>
      <c r="B153" s="2">
        <v>45692</v>
      </c>
      <c r="C153" t="s">
        <v>242</v>
      </c>
      <c r="D153" t="s">
        <v>58</v>
      </c>
      <c r="E153" t="s">
        <v>138</v>
      </c>
      <c r="F153" t="s">
        <v>138</v>
      </c>
      <c r="G153" s="6">
        <v>2</v>
      </c>
      <c r="H153" s="3">
        <v>3564</v>
      </c>
      <c r="I153" s="5">
        <v>0.19</v>
      </c>
      <c r="J153" s="4">
        <v>560.37</v>
      </c>
      <c r="K153" t="s">
        <v>28</v>
      </c>
      <c r="L153" t="s">
        <v>86</v>
      </c>
      <c r="M153" t="s">
        <v>87</v>
      </c>
      <c r="N153" t="s">
        <v>38</v>
      </c>
      <c r="O153" t="s">
        <v>23</v>
      </c>
    </row>
    <row r="154" spans="1:15" x14ac:dyDescent="0.3">
      <c r="A154" s="2" t="s">
        <v>696</v>
      </c>
      <c r="B154" s="2">
        <v>45809</v>
      </c>
      <c r="C154" t="s">
        <v>165</v>
      </c>
      <c r="D154" t="s">
        <v>95</v>
      </c>
      <c r="E154" t="s">
        <v>125</v>
      </c>
      <c r="F154" t="s">
        <v>125</v>
      </c>
      <c r="G154" s="6">
        <v>4</v>
      </c>
      <c r="H154" s="3">
        <v>5616</v>
      </c>
      <c r="I154" s="5">
        <v>0.22</v>
      </c>
      <c r="J154" s="4">
        <v>777.97</v>
      </c>
      <c r="K154" t="s">
        <v>75</v>
      </c>
      <c r="L154" t="s">
        <v>149</v>
      </c>
      <c r="M154" t="s">
        <v>150</v>
      </c>
      <c r="N154" t="s">
        <v>38</v>
      </c>
      <c r="O154" t="s">
        <v>23</v>
      </c>
    </row>
    <row r="155" spans="1:15" x14ac:dyDescent="0.3">
      <c r="A155" s="2" t="s">
        <v>1108</v>
      </c>
      <c r="B155" s="2">
        <v>45952</v>
      </c>
      <c r="C155" t="s">
        <v>779</v>
      </c>
      <c r="D155" t="s">
        <v>17</v>
      </c>
      <c r="E155" t="s">
        <v>148</v>
      </c>
      <c r="F155" t="s">
        <v>148</v>
      </c>
      <c r="G155" s="6">
        <v>1</v>
      </c>
      <c r="H155" s="3">
        <v>21000</v>
      </c>
      <c r="I155" s="5">
        <v>0.25</v>
      </c>
      <c r="J155" s="4">
        <v>2824.55</v>
      </c>
      <c r="K155" t="s">
        <v>52</v>
      </c>
      <c r="L155" t="s">
        <v>70</v>
      </c>
      <c r="M155" t="s">
        <v>71</v>
      </c>
      <c r="N155" t="s">
        <v>55</v>
      </c>
      <c r="O155" t="s">
        <v>44</v>
      </c>
    </row>
    <row r="156" spans="1:15" x14ac:dyDescent="0.3">
      <c r="A156" s="2" t="s">
        <v>961</v>
      </c>
      <c r="B156" s="2">
        <v>45897</v>
      </c>
      <c r="C156" t="s">
        <v>309</v>
      </c>
      <c r="D156" t="s">
        <v>95</v>
      </c>
      <c r="E156" t="s">
        <v>104</v>
      </c>
      <c r="F156" t="s">
        <v>104</v>
      </c>
      <c r="G156" s="6">
        <v>3</v>
      </c>
      <c r="H156" s="3">
        <v>9555</v>
      </c>
      <c r="I156" s="5">
        <v>0.09</v>
      </c>
      <c r="J156" s="4">
        <v>1778.26</v>
      </c>
      <c r="K156" t="s">
        <v>28</v>
      </c>
      <c r="L156" t="s">
        <v>36</v>
      </c>
      <c r="M156" t="s">
        <v>37</v>
      </c>
      <c r="N156" t="s">
        <v>38</v>
      </c>
      <c r="O156" t="s">
        <v>23</v>
      </c>
    </row>
    <row r="157" spans="1:15" x14ac:dyDescent="0.3">
      <c r="A157" s="2" t="s">
        <v>1168</v>
      </c>
      <c r="B157" s="2">
        <v>45975</v>
      </c>
      <c r="C157" t="s">
        <v>183</v>
      </c>
      <c r="D157" t="s">
        <v>17</v>
      </c>
      <c r="E157" t="s">
        <v>18</v>
      </c>
      <c r="F157" t="s">
        <v>18</v>
      </c>
      <c r="G157" s="6">
        <v>3</v>
      </c>
      <c r="H157" s="3">
        <v>67500</v>
      </c>
      <c r="I157" s="5">
        <v>0.25</v>
      </c>
      <c r="J157" s="4">
        <v>7567.98</v>
      </c>
      <c r="K157" t="s">
        <v>19</v>
      </c>
      <c r="L157" t="s">
        <v>29</v>
      </c>
      <c r="M157" t="s">
        <v>30</v>
      </c>
      <c r="N157" t="s">
        <v>31</v>
      </c>
      <c r="O157" t="s">
        <v>44</v>
      </c>
    </row>
    <row r="158" spans="1:15" x14ac:dyDescent="0.3">
      <c r="A158" s="2" t="s">
        <v>936</v>
      </c>
      <c r="B158" s="2">
        <v>45886</v>
      </c>
      <c r="C158" t="s">
        <v>551</v>
      </c>
      <c r="D158" t="s">
        <v>47</v>
      </c>
      <c r="E158" t="s">
        <v>224</v>
      </c>
      <c r="F158" t="s">
        <v>224</v>
      </c>
      <c r="G158" s="6">
        <v>1</v>
      </c>
      <c r="H158" s="3">
        <v>4450</v>
      </c>
      <c r="I158" s="5">
        <v>0.11</v>
      </c>
      <c r="J158" s="4">
        <v>617.04999999999995</v>
      </c>
      <c r="K158" t="s">
        <v>49</v>
      </c>
      <c r="L158" t="s">
        <v>20</v>
      </c>
      <c r="M158" t="s">
        <v>21</v>
      </c>
      <c r="N158" t="s">
        <v>22</v>
      </c>
      <c r="O158" t="s">
        <v>23</v>
      </c>
    </row>
    <row r="159" spans="1:15" x14ac:dyDescent="0.3">
      <c r="A159" s="2" t="s">
        <v>1035</v>
      </c>
      <c r="B159" s="2">
        <v>45927</v>
      </c>
      <c r="C159" t="s">
        <v>251</v>
      </c>
      <c r="D159" t="s">
        <v>34</v>
      </c>
      <c r="E159" t="s">
        <v>227</v>
      </c>
      <c r="F159" t="s">
        <v>227</v>
      </c>
      <c r="G159" s="6">
        <v>5</v>
      </c>
      <c r="H159" s="3">
        <v>26325</v>
      </c>
      <c r="I159" s="5">
        <v>0.19</v>
      </c>
      <c r="J159" s="4">
        <v>2770.72</v>
      </c>
      <c r="K159" t="s">
        <v>52</v>
      </c>
      <c r="L159" t="s">
        <v>208</v>
      </c>
      <c r="M159" t="s">
        <v>209</v>
      </c>
      <c r="N159" t="s">
        <v>31</v>
      </c>
      <c r="O159" t="s">
        <v>23</v>
      </c>
    </row>
    <row r="160" spans="1:15" x14ac:dyDescent="0.3">
      <c r="A160" s="2" t="s">
        <v>754</v>
      </c>
      <c r="B160" s="2">
        <v>45828</v>
      </c>
      <c r="C160" t="s">
        <v>137</v>
      </c>
      <c r="D160" t="s">
        <v>17</v>
      </c>
      <c r="E160" t="s">
        <v>148</v>
      </c>
      <c r="F160" t="s">
        <v>148</v>
      </c>
      <c r="G160" s="6">
        <v>1</v>
      </c>
      <c r="H160" s="3">
        <v>23240</v>
      </c>
      <c r="I160" s="5">
        <v>0.17</v>
      </c>
      <c r="J160" s="4">
        <v>1566</v>
      </c>
      <c r="K160" t="s">
        <v>28</v>
      </c>
      <c r="L160" t="s">
        <v>97</v>
      </c>
      <c r="M160" t="s">
        <v>98</v>
      </c>
      <c r="N160" t="s">
        <v>31</v>
      </c>
      <c r="O160" t="s">
        <v>23</v>
      </c>
    </row>
    <row r="161" spans="1:15" x14ac:dyDescent="0.3">
      <c r="A161" s="2" t="s">
        <v>1132</v>
      </c>
      <c r="B161" s="2">
        <v>45962</v>
      </c>
      <c r="C161" t="s">
        <v>291</v>
      </c>
      <c r="D161" t="s">
        <v>58</v>
      </c>
      <c r="E161" t="s">
        <v>77</v>
      </c>
      <c r="F161" t="s">
        <v>77</v>
      </c>
      <c r="G161" s="6">
        <v>2</v>
      </c>
      <c r="H161" s="3">
        <v>3060</v>
      </c>
      <c r="I161" s="5">
        <v>0.15</v>
      </c>
      <c r="J161" s="4">
        <v>566.38</v>
      </c>
      <c r="K161" t="s">
        <v>19</v>
      </c>
      <c r="L161" t="s">
        <v>53</v>
      </c>
      <c r="M161" t="s">
        <v>54</v>
      </c>
      <c r="N161" t="s">
        <v>55</v>
      </c>
      <c r="O161" t="s">
        <v>23</v>
      </c>
    </row>
    <row r="162" spans="1:15" x14ac:dyDescent="0.3">
      <c r="A162" s="2" t="s">
        <v>174</v>
      </c>
      <c r="B162" s="2">
        <v>45677</v>
      </c>
      <c r="C162" t="s">
        <v>57</v>
      </c>
      <c r="D162" t="s">
        <v>58</v>
      </c>
      <c r="E162" t="s">
        <v>59</v>
      </c>
      <c r="F162" t="s">
        <v>59</v>
      </c>
      <c r="G162" s="6">
        <v>1</v>
      </c>
      <c r="H162" s="3">
        <v>360</v>
      </c>
      <c r="I162" s="5">
        <v>0.2</v>
      </c>
      <c r="J162" s="4">
        <v>55.49</v>
      </c>
      <c r="K162" t="s">
        <v>52</v>
      </c>
      <c r="L162" t="s">
        <v>149</v>
      </c>
      <c r="M162" t="s">
        <v>175</v>
      </c>
      <c r="N162" t="s">
        <v>38</v>
      </c>
      <c r="O162" t="s">
        <v>44</v>
      </c>
    </row>
    <row r="163" spans="1:15" x14ac:dyDescent="0.3">
      <c r="A163" s="2" t="s">
        <v>1050</v>
      </c>
      <c r="B163" s="2">
        <v>45933</v>
      </c>
      <c r="C163" t="s">
        <v>486</v>
      </c>
      <c r="D163" t="s">
        <v>26</v>
      </c>
      <c r="E163" t="s">
        <v>188</v>
      </c>
      <c r="F163" t="s">
        <v>188</v>
      </c>
      <c r="G163" s="6">
        <v>1</v>
      </c>
      <c r="H163" s="3">
        <v>2640</v>
      </c>
      <c r="I163" s="5">
        <v>0.12</v>
      </c>
      <c r="J163" s="4">
        <v>455.63</v>
      </c>
      <c r="K163" t="s">
        <v>75</v>
      </c>
      <c r="L163" t="s">
        <v>97</v>
      </c>
      <c r="M163" t="s">
        <v>98</v>
      </c>
      <c r="N163" t="s">
        <v>31</v>
      </c>
      <c r="O163" t="s">
        <v>23</v>
      </c>
    </row>
    <row r="164" spans="1:15" x14ac:dyDescent="0.3">
      <c r="A164" s="2" t="s">
        <v>692</v>
      </c>
      <c r="B164" s="2">
        <v>45808</v>
      </c>
      <c r="C164" t="s">
        <v>556</v>
      </c>
      <c r="D164" t="s">
        <v>34</v>
      </c>
      <c r="E164" t="s">
        <v>227</v>
      </c>
      <c r="F164" t="s">
        <v>227</v>
      </c>
      <c r="G164" s="6">
        <v>1</v>
      </c>
      <c r="H164" s="3">
        <v>5590</v>
      </c>
      <c r="I164" s="5">
        <v>0.14000000000000001</v>
      </c>
      <c r="J164" s="4">
        <v>523.59</v>
      </c>
      <c r="K164" t="s">
        <v>28</v>
      </c>
      <c r="L164" t="s">
        <v>53</v>
      </c>
      <c r="M164" t="s">
        <v>54</v>
      </c>
      <c r="N164" t="s">
        <v>55</v>
      </c>
      <c r="O164" t="s">
        <v>44</v>
      </c>
    </row>
    <row r="165" spans="1:15" x14ac:dyDescent="0.3">
      <c r="A165" s="2" t="s">
        <v>50</v>
      </c>
      <c r="B165" s="2">
        <v>45662</v>
      </c>
      <c r="C165" t="s">
        <v>51</v>
      </c>
      <c r="D165" t="s">
        <v>26</v>
      </c>
      <c r="E165" t="s">
        <v>27</v>
      </c>
      <c r="F165" t="s">
        <v>27</v>
      </c>
      <c r="G165" s="6">
        <v>1</v>
      </c>
      <c r="H165" s="3">
        <v>1120</v>
      </c>
      <c r="I165" s="5">
        <v>0.2</v>
      </c>
      <c r="J165" s="4">
        <v>212.05</v>
      </c>
      <c r="K165" t="s">
        <v>52</v>
      </c>
      <c r="L165" t="s">
        <v>53</v>
      </c>
      <c r="M165" t="s">
        <v>54</v>
      </c>
      <c r="N165" t="s">
        <v>55</v>
      </c>
      <c r="O165" t="s">
        <v>23</v>
      </c>
    </row>
    <row r="166" spans="1:15" x14ac:dyDescent="0.3">
      <c r="A166" s="2" t="s">
        <v>446</v>
      </c>
      <c r="B166" s="2">
        <v>45733</v>
      </c>
      <c r="C166" t="s">
        <v>140</v>
      </c>
      <c r="D166" t="s">
        <v>58</v>
      </c>
      <c r="E166" t="s">
        <v>178</v>
      </c>
      <c r="F166" t="s">
        <v>178</v>
      </c>
      <c r="G166" s="6">
        <v>3</v>
      </c>
      <c r="H166" s="3">
        <v>1560</v>
      </c>
      <c r="I166" s="5">
        <v>0.2</v>
      </c>
      <c r="J166" s="4">
        <v>270.7</v>
      </c>
      <c r="K166" t="s">
        <v>28</v>
      </c>
      <c r="L166" t="s">
        <v>78</v>
      </c>
      <c r="M166" t="s">
        <v>79</v>
      </c>
      <c r="N166" t="s">
        <v>22</v>
      </c>
      <c r="O166" t="s">
        <v>23</v>
      </c>
    </row>
    <row r="167" spans="1:15" x14ac:dyDescent="0.3">
      <c r="A167" s="2" t="s">
        <v>905</v>
      </c>
      <c r="B167" s="2">
        <v>45877</v>
      </c>
      <c r="C167" t="s">
        <v>435</v>
      </c>
      <c r="D167" t="s">
        <v>47</v>
      </c>
      <c r="E167" t="s">
        <v>48</v>
      </c>
      <c r="F167" t="s">
        <v>48</v>
      </c>
      <c r="G167" s="6">
        <v>1</v>
      </c>
      <c r="H167" s="3">
        <v>23500</v>
      </c>
      <c r="I167" s="5">
        <v>0.06</v>
      </c>
      <c r="J167" s="4">
        <v>2896.97</v>
      </c>
      <c r="K167" t="s">
        <v>52</v>
      </c>
      <c r="L167" t="s">
        <v>36</v>
      </c>
      <c r="M167" t="s">
        <v>128</v>
      </c>
      <c r="N167" t="s">
        <v>38</v>
      </c>
      <c r="O167" t="s">
        <v>44</v>
      </c>
    </row>
    <row r="168" spans="1:15" x14ac:dyDescent="0.3">
      <c r="A168" s="2" t="s">
        <v>974</v>
      </c>
      <c r="B168" s="2">
        <v>45902</v>
      </c>
      <c r="C168" t="s">
        <v>167</v>
      </c>
      <c r="D168" t="s">
        <v>17</v>
      </c>
      <c r="E168" t="s">
        <v>158</v>
      </c>
      <c r="F168" t="s">
        <v>158</v>
      </c>
      <c r="G168" s="6">
        <v>4</v>
      </c>
      <c r="H168" s="3">
        <v>71280</v>
      </c>
      <c r="I168" s="5">
        <v>0.19</v>
      </c>
      <c r="J168" s="4">
        <v>6441.3</v>
      </c>
      <c r="K168" t="s">
        <v>19</v>
      </c>
      <c r="L168" t="s">
        <v>60</v>
      </c>
      <c r="M168" t="s">
        <v>61</v>
      </c>
      <c r="N168" t="s">
        <v>38</v>
      </c>
      <c r="O168" t="s">
        <v>23</v>
      </c>
    </row>
    <row r="169" spans="1:15" x14ac:dyDescent="0.3">
      <c r="A169" s="2" t="s">
        <v>464</v>
      </c>
      <c r="B169" s="2">
        <v>45739</v>
      </c>
      <c r="C169" t="s">
        <v>132</v>
      </c>
      <c r="D169" t="s">
        <v>17</v>
      </c>
      <c r="E169" t="s">
        <v>158</v>
      </c>
      <c r="F169" t="s">
        <v>158</v>
      </c>
      <c r="G169" s="6">
        <v>4</v>
      </c>
      <c r="H169" s="3">
        <v>69520</v>
      </c>
      <c r="I169" s="5">
        <v>0.21</v>
      </c>
      <c r="J169" s="4">
        <v>6966.9</v>
      </c>
      <c r="K169" t="s">
        <v>19</v>
      </c>
      <c r="L169" t="s">
        <v>36</v>
      </c>
      <c r="M169" t="s">
        <v>128</v>
      </c>
      <c r="N169" t="s">
        <v>38</v>
      </c>
      <c r="O169" t="s">
        <v>44</v>
      </c>
    </row>
    <row r="170" spans="1:15" x14ac:dyDescent="0.3">
      <c r="A170" s="2" t="s">
        <v>436</v>
      </c>
      <c r="B170" s="2">
        <v>45733</v>
      </c>
      <c r="C170" t="s">
        <v>437</v>
      </c>
      <c r="D170" t="s">
        <v>47</v>
      </c>
      <c r="E170" t="s">
        <v>368</v>
      </c>
      <c r="F170" t="s">
        <v>368</v>
      </c>
      <c r="G170" s="6">
        <v>2</v>
      </c>
      <c r="H170" s="3">
        <v>2916</v>
      </c>
      <c r="I170" s="5">
        <v>0.19</v>
      </c>
      <c r="J170" s="4">
        <v>221.84</v>
      </c>
      <c r="K170" t="s">
        <v>52</v>
      </c>
      <c r="L170" t="s">
        <v>36</v>
      </c>
      <c r="M170" t="s">
        <v>128</v>
      </c>
      <c r="N170" t="s">
        <v>38</v>
      </c>
      <c r="O170" t="s">
        <v>44</v>
      </c>
    </row>
    <row r="171" spans="1:15" x14ac:dyDescent="0.3">
      <c r="A171" s="2" t="s">
        <v>1024</v>
      </c>
      <c r="B171" s="2">
        <v>45924</v>
      </c>
      <c r="C171" t="s">
        <v>251</v>
      </c>
      <c r="D171" t="s">
        <v>68</v>
      </c>
      <c r="E171" t="s">
        <v>120</v>
      </c>
      <c r="F171" t="s">
        <v>120</v>
      </c>
      <c r="G171" s="6">
        <v>3</v>
      </c>
      <c r="H171" s="3">
        <v>1554</v>
      </c>
      <c r="I171" s="5">
        <v>0.26</v>
      </c>
      <c r="J171" s="4">
        <v>354.86</v>
      </c>
      <c r="K171" t="s">
        <v>52</v>
      </c>
      <c r="L171" t="s">
        <v>78</v>
      </c>
      <c r="M171" t="s">
        <v>79</v>
      </c>
      <c r="N171" t="s">
        <v>22</v>
      </c>
      <c r="O171" t="s">
        <v>44</v>
      </c>
    </row>
    <row r="172" spans="1:15" x14ac:dyDescent="0.3">
      <c r="A172" s="2" t="s">
        <v>582</v>
      </c>
      <c r="B172" s="2">
        <v>45774</v>
      </c>
      <c r="C172" t="s">
        <v>275</v>
      </c>
      <c r="D172" t="s">
        <v>58</v>
      </c>
      <c r="E172" t="s">
        <v>138</v>
      </c>
      <c r="F172" t="s">
        <v>138</v>
      </c>
      <c r="G172" s="6">
        <v>5</v>
      </c>
      <c r="H172" s="3">
        <v>10010</v>
      </c>
      <c r="I172" s="5">
        <v>0.09</v>
      </c>
      <c r="J172" s="4">
        <v>1644.39</v>
      </c>
      <c r="K172" t="s">
        <v>49</v>
      </c>
      <c r="L172" t="s">
        <v>149</v>
      </c>
      <c r="M172" t="s">
        <v>150</v>
      </c>
      <c r="N172" t="s">
        <v>38</v>
      </c>
      <c r="O172" t="s">
        <v>23</v>
      </c>
    </row>
    <row r="173" spans="1:15" x14ac:dyDescent="0.3">
      <c r="A173" s="2" t="s">
        <v>552</v>
      </c>
      <c r="B173" s="2">
        <v>45764</v>
      </c>
      <c r="C173" t="s">
        <v>291</v>
      </c>
      <c r="D173" t="s">
        <v>34</v>
      </c>
      <c r="E173" t="s">
        <v>227</v>
      </c>
      <c r="F173" t="s">
        <v>227</v>
      </c>
      <c r="G173" s="6">
        <v>2</v>
      </c>
      <c r="H173" s="3">
        <v>11570</v>
      </c>
      <c r="I173" s="5">
        <v>0.11</v>
      </c>
      <c r="J173" s="4">
        <v>1501.81</v>
      </c>
      <c r="K173" t="s">
        <v>49</v>
      </c>
      <c r="L173" t="s">
        <v>97</v>
      </c>
      <c r="M173" t="s">
        <v>98</v>
      </c>
      <c r="N173" t="s">
        <v>31</v>
      </c>
      <c r="O173" t="s">
        <v>23</v>
      </c>
    </row>
    <row r="174" spans="1:15" x14ac:dyDescent="0.3">
      <c r="A174" s="2" t="s">
        <v>1048</v>
      </c>
      <c r="B174" s="2">
        <v>45932</v>
      </c>
      <c r="C174" t="s">
        <v>345</v>
      </c>
      <c r="D174" t="s">
        <v>68</v>
      </c>
      <c r="E174" t="s">
        <v>237</v>
      </c>
      <c r="F174" t="s">
        <v>237</v>
      </c>
      <c r="G174" s="6">
        <v>2</v>
      </c>
      <c r="H174" s="3">
        <v>1494</v>
      </c>
      <c r="I174" s="5">
        <v>0.17</v>
      </c>
      <c r="J174" s="4">
        <v>232.16</v>
      </c>
      <c r="K174" t="s">
        <v>65</v>
      </c>
      <c r="L174" t="s">
        <v>70</v>
      </c>
      <c r="M174" t="s">
        <v>71</v>
      </c>
      <c r="N174" t="s">
        <v>55</v>
      </c>
      <c r="O174" t="s">
        <v>44</v>
      </c>
    </row>
    <row r="175" spans="1:15" x14ac:dyDescent="0.3">
      <c r="A175" s="2" t="s">
        <v>722</v>
      </c>
      <c r="B175" s="2">
        <v>45815</v>
      </c>
      <c r="C175" t="s">
        <v>103</v>
      </c>
      <c r="D175" t="s">
        <v>34</v>
      </c>
      <c r="E175" t="s">
        <v>302</v>
      </c>
      <c r="F175" t="s">
        <v>302</v>
      </c>
      <c r="G175" s="6">
        <v>1</v>
      </c>
      <c r="H175" s="3">
        <v>3010</v>
      </c>
      <c r="I175" s="5">
        <v>0.14000000000000001</v>
      </c>
      <c r="J175" s="4">
        <v>332.09</v>
      </c>
      <c r="K175" t="s">
        <v>65</v>
      </c>
      <c r="L175" t="s">
        <v>97</v>
      </c>
      <c r="M175" t="s">
        <v>98</v>
      </c>
      <c r="N175" t="s">
        <v>31</v>
      </c>
      <c r="O175" t="s">
        <v>23</v>
      </c>
    </row>
    <row r="176" spans="1:15" x14ac:dyDescent="0.3">
      <c r="A176" s="2" t="s">
        <v>1153</v>
      </c>
      <c r="B176" s="2">
        <v>45969</v>
      </c>
      <c r="C176" t="s">
        <v>651</v>
      </c>
      <c r="D176" t="s">
        <v>68</v>
      </c>
      <c r="E176" t="s">
        <v>69</v>
      </c>
      <c r="F176" t="s">
        <v>69</v>
      </c>
      <c r="G176" s="6">
        <v>2</v>
      </c>
      <c r="H176" s="3">
        <v>710</v>
      </c>
      <c r="I176" s="5">
        <v>0.28999999999999998</v>
      </c>
      <c r="J176" s="4">
        <v>140.66999999999999</v>
      </c>
      <c r="K176" t="s">
        <v>65</v>
      </c>
      <c r="L176" t="s">
        <v>36</v>
      </c>
      <c r="M176" t="s">
        <v>128</v>
      </c>
      <c r="N176" t="s">
        <v>38</v>
      </c>
      <c r="O176" t="s">
        <v>23</v>
      </c>
    </row>
    <row r="177" spans="1:15" x14ac:dyDescent="0.3">
      <c r="A177" s="2" t="s">
        <v>586</v>
      </c>
      <c r="B177" s="2">
        <v>45775</v>
      </c>
      <c r="C177" t="s">
        <v>296</v>
      </c>
      <c r="D177" t="s">
        <v>26</v>
      </c>
      <c r="E177" t="s">
        <v>64</v>
      </c>
      <c r="F177" t="s">
        <v>64</v>
      </c>
      <c r="G177" s="6">
        <v>2</v>
      </c>
      <c r="H177" s="3">
        <v>1314</v>
      </c>
      <c r="I177" s="5">
        <v>0.27</v>
      </c>
      <c r="J177" s="4">
        <v>276.66000000000003</v>
      </c>
      <c r="K177" t="s">
        <v>75</v>
      </c>
      <c r="L177" t="s">
        <v>70</v>
      </c>
      <c r="M177" t="s">
        <v>71</v>
      </c>
      <c r="N177" t="s">
        <v>55</v>
      </c>
      <c r="O177" t="s">
        <v>23</v>
      </c>
    </row>
    <row r="178" spans="1:15" x14ac:dyDescent="0.3">
      <c r="A178" s="2" t="s">
        <v>699</v>
      </c>
      <c r="B178" s="2">
        <v>45809</v>
      </c>
      <c r="C178" t="s">
        <v>700</v>
      </c>
      <c r="D178" t="s">
        <v>34</v>
      </c>
      <c r="E178" t="s">
        <v>227</v>
      </c>
      <c r="F178" t="s">
        <v>227</v>
      </c>
      <c r="G178" s="6">
        <v>1</v>
      </c>
      <c r="H178" s="3">
        <v>5525</v>
      </c>
      <c r="I178" s="5">
        <v>0.15</v>
      </c>
      <c r="J178" s="4">
        <v>566.20000000000005</v>
      </c>
      <c r="K178" t="s">
        <v>49</v>
      </c>
      <c r="L178" t="s">
        <v>53</v>
      </c>
      <c r="M178" t="s">
        <v>54</v>
      </c>
      <c r="N178" t="s">
        <v>55</v>
      </c>
      <c r="O178" t="s">
        <v>23</v>
      </c>
    </row>
    <row r="179" spans="1:15" x14ac:dyDescent="0.3">
      <c r="A179" s="2" t="s">
        <v>1251</v>
      </c>
      <c r="B179" s="2">
        <v>46002</v>
      </c>
      <c r="C179" t="s">
        <v>114</v>
      </c>
      <c r="D179" t="s">
        <v>34</v>
      </c>
      <c r="E179" t="s">
        <v>302</v>
      </c>
      <c r="F179" t="s">
        <v>302</v>
      </c>
      <c r="G179" s="6">
        <v>1</v>
      </c>
      <c r="H179" s="3">
        <v>3045</v>
      </c>
      <c r="I179" s="5">
        <v>0.13</v>
      </c>
      <c r="J179" s="4">
        <v>620.04999999999995</v>
      </c>
      <c r="K179" t="s">
        <v>28</v>
      </c>
      <c r="L179" t="s">
        <v>53</v>
      </c>
      <c r="M179" t="s">
        <v>54</v>
      </c>
      <c r="N179" t="s">
        <v>55</v>
      </c>
      <c r="O179" t="s">
        <v>44</v>
      </c>
    </row>
    <row r="180" spans="1:15" x14ac:dyDescent="0.3">
      <c r="A180" s="2" t="s">
        <v>730</v>
      </c>
      <c r="B180" s="2">
        <v>45818</v>
      </c>
      <c r="C180" t="s">
        <v>432</v>
      </c>
      <c r="D180" t="s">
        <v>26</v>
      </c>
      <c r="E180" t="s">
        <v>64</v>
      </c>
      <c r="F180" t="s">
        <v>64</v>
      </c>
      <c r="G180" s="6">
        <v>1</v>
      </c>
      <c r="H180" s="3">
        <v>720</v>
      </c>
      <c r="I180" s="5">
        <v>0.2</v>
      </c>
      <c r="J180" s="4">
        <v>127.12</v>
      </c>
      <c r="K180" t="s">
        <v>65</v>
      </c>
      <c r="L180" t="s">
        <v>36</v>
      </c>
      <c r="M180" t="s">
        <v>101</v>
      </c>
      <c r="N180" t="s">
        <v>38</v>
      </c>
      <c r="O180" t="s">
        <v>44</v>
      </c>
    </row>
    <row r="181" spans="1:15" x14ac:dyDescent="0.3">
      <c r="A181" s="2" t="s">
        <v>452</v>
      </c>
      <c r="B181" s="2">
        <v>45735</v>
      </c>
      <c r="C181" t="s">
        <v>453</v>
      </c>
      <c r="D181" t="s">
        <v>17</v>
      </c>
      <c r="E181" t="s">
        <v>158</v>
      </c>
      <c r="F181" t="s">
        <v>158</v>
      </c>
      <c r="G181" s="6">
        <v>4</v>
      </c>
      <c r="H181" s="3">
        <v>71280</v>
      </c>
      <c r="I181" s="5">
        <v>0.19</v>
      </c>
      <c r="J181" s="4">
        <v>7837.09</v>
      </c>
      <c r="K181" t="s">
        <v>28</v>
      </c>
      <c r="L181" t="s">
        <v>36</v>
      </c>
      <c r="M181" t="s">
        <v>101</v>
      </c>
      <c r="N181" t="s">
        <v>38</v>
      </c>
      <c r="O181" t="s">
        <v>23</v>
      </c>
    </row>
    <row r="182" spans="1:15" x14ac:dyDescent="0.3">
      <c r="A182" s="2" t="s">
        <v>600</v>
      </c>
      <c r="B182" s="2">
        <v>45782</v>
      </c>
      <c r="C182" t="s">
        <v>244</v>
      </c>
      <c r="D182" t="s">
        <v>17</v>
      </c>
      <c r="E182" t="s">
        <v>90</v>
      </c>
      <c r="F182" t="s">
        <v>90</v>
      </c>
      <c r="G182" s="6">
        <v>3</v>
      </c>
      <c r="H182" s="3">
        <v>11850</v>
      </c>
      <c r="I182" s="5">
        <v>0.21</v>
      </c>
      <c r="J182" s="4">
        <v>1149.49</v>
      </c>
      <c r="K182" t="s">
        <v>75</v>
      </c>
      <c r="L182" t="s">
        <v>149</v>
      </c>
      <c r="M182" t="s">
        <v>150</v>
      </c>
      <c r="N182" t="s">
        <v>38</v>
      </c>
      <c r="O182" t="s">
        <v>23</v>
      </c>
    </row>
    <row r="183" spans="1:15" x14ac:dyDescent="0.3">
      <c r="A183" s="2" t="s">
        <v>943</v>
      </c>
      <c r="B183" s="2">
        <v>45889</v>
      </c>
      <c r="C183" t="s">
        <v>124</v>
      </c>
      <c r="D183" t="s">
        <v>68</v>
      </c>
      <c r="E183" t="s">
        <v>153</v>
      </c>
      <c r="F183" t="s">
        <v>153</v>
      </c>
      <c r="G183" s="6">
        <v>1</v>
      </c>
      <c r="H183" s="3">
        <v>1056</v>
      </c>
      <c r="I183" s="5">
        <v>0.12</v>
      </c>
      <c r="J183" s="4">
        <v>242.38</v>
      </c>
      <c r="K183" t="s">
        <v>49</v>
      </c>
      <c r="L183" t="s">
        <v>36</v>
      </c>
      <c r="M183" t="s">
        <v>128</v>
      </c>
      <c r="N183" t="s">
        <v>38</v>
      </c>
      <c r="O183" t="s">
        <v>44</v>
      </c>
    </row>
    <row r="184" spans="1:15" x14ac:dyDescent="0.3">
      <c r="A184" s="2" t="s">
        <v>1029</v>
      </c>
      <c r="B184" s="2">
        <v>45926</v>
      </c>
      <c r="C184" t="s">
        <v>124</v>
      </c>
      <c r="D184" t="s">
        <v>47</v>
      </c>
      <c r="E184" t="s">
        <v>48</v>
      </c>
      <c r="F184" t="s">
        <v>48</v>
      </c>
      <c r="G184" s="6">
        <v>2</v>
      </c>
      <c r="H184" s="3">
        <v>43500</v>
      </c>
      <c r="I184" s="5">
        <v>0.13</v>
      </c>
      <c r="J184" s="4">
        <v>3695.45</v>
      </c>
      <c r="K184" t="s">
        <v>19</v>
      </c>
      <c r="L184" t="s">
        <v>170</v>
      </c>
      <c r="M184" t="s">
        <v>171</v>
      </c>
      <c r="N184" t="s">
        <v>31</v>
      </c>
      <c r="O184" t="s">
        <v>23</v>
      </c>
    </row>
    <row r="185" spans="1:15" x14ac:dyDescent="0.3">
      <c r="A185" s="2" t="s">
        <v>1120</v>
      </c>
      <c r="B185" s="2">
        <v>45957</v>
      </c>
      <c r="C185" t="s">
        <v>251</v>
      </c>
      <c r="D185" t="s">
        <v>47</v>
      </c>
      <c r="E185" t="s">
        <v>74</v>
      </c>
      <c r="F185" t="s">
        <v>74</v>
      </c>
      <c r="G185" s="6">
        <v>2</v>
      </c>
      <c r="H185" s="3">
        <v>31680</v>
      </c>
      <c r="I185" s="5">
        <v>0.12</v>
      </c>
      <c r="J185" s="4">
        <v>5026.46</v>
      </c>
      <c r="K185" t="s">
        <v>19</v>
      </c>
      <c r="L185" t="s">
        <v>36</v>
      </c>
      <c r="M185" t="s">
        <v>37</v>
      </c>
      <c r="N185" t="s">
        <v>38</v>
      </c>
      <c r="O185" t="s">
        <v>23</v>
      </c>
    </row>
    <row r="186" spans="1:15" x14ac:dyDescent="0.3">
      <c r="A186" s="2" t="s">
        <v>1121</v>
      </c>
      <c r="B186" s="2">
        <v>45957</v>
      </c>
      <c r="C186" t="s">
        <v>51</v>
      </c>
      <c r="D186" t="s">
        <v>68</v>
      </c>
      <c r="E186" t="s">
        <v>69</v>
      </c>
      <c r="F186" t="s">
        <v>69</v>
      </c>
      <c r="G186" s="6">
        <v>2</v>
      </c>
      <c r="H186" s="3">
        <v>740</v>
      </c>
      <c r="I186" s="5">
        <v>0.26</v>
      </c>
      <c r="J186" s="4">
        <v>130.97</v>
      </c>
      <c r="K186" t="s">
        <v>75</v>
      </c>
      <c r="L186" t="s">
        <v>121</v>
      </c>
      <c r="M186" t="s">
        <v>122</v>
      </c>
      <c r="N186" t="s">
        <v>55</v>
      </c>
      <c r="O186" t="s">
        <v>44</v>
      </c>
    </row>
    <row r="187" spans="1:15" x14ac:dyDescent="0.3">
      <c r="A187" s="2" t="s">
        <v>644</v>
      </c>
      <c r="B187" s="2">
        <v>45793</v>
      </c>
      <c r="C187" t="s">
        <v>263</v>
      </c>
      <c r="D187" t="s">
        <v>34</v>
      </c>
      <c r="E187" t="s">
        <v>35</v>
      </c>
      <c r="F187" t="s">
        <v>35</v>
      </c>
      <c r="G187" s="6">
        <v>1</v>
      </c>
      <c r="H187" s="3">
        <v>1032</v>
      </c>
      <c r="I187" s="5">
        <v>0.14000000000000001</v>
      </c>
      <c r="J187" s="4">
        <v>167.28</v>
      </c>
      <c r="K187" t="s">
        <v>65</v>
      </c>
      <c r="L187" t="s">
        <v>149</v>
      </c>
      <c r="M187" t="s">
        <v>175</v>
      </c>
      <c r="N187" t="s">
        <v>38</v>
      </c>
      <c r="O187" t="s">
        <v>23</v>
      </c>
    </row>
    <row r="188" spans="1:15" x14ac:dyDescent="0.3">
      <c r="A188" s="2" t="s">
        <v>1078</v>
      </c>
      <c r="B188" s="2">
        <v>45943</v>
      </c>
      <c r="C188" t="s">
        <v>351</v>
      </c>
      <c r="D188" t="s">
        <v>26</v>
      </c>
      <c r="E188" t="s">
        <v>64</v>
      </c>
      <c r="F188" t="s">
        <v>64</v>
      </c>
      <c r="G188" s="6">
        <v>2</v>
      </c>
      <c r="H188" s="3">
        <v>1458</v>
      </c>
      <c r="I188" s="5">
        <v>0.19</v>
      </c>
      <c r="J188" s="4">
        <v>299.81</v>
      </c>
      <c r="K188" t="s">
        <v>52</v>
      </c>
      <c r="L188" t="s">
        <v>29</v>
      </c>
      <c r="M188" t="s">
        <v>30</v>
      </c>
      <c r="N188" t="s">
        <v>31</v>
      </c>
      <c r="O188" t="s">
        <v>23</v>
      </c>
    </row>
    <row r="189" spans="1:15" x14ac:dyDescent="0.3">
      <c r="A189" s="2" t="s">
        <v>924</v>
      </c>
      <c r="B189" s="2">
        <v>45883</v>
      </c>
      <c r="C189" t="s">
        <v>304</v>
      </c>
      <c r="D189" t="s">
        <v>17</v>
      </c>
      <c r="E189" t="s">
        <v>18</v>
      </c>
      <c r="F189" t="s">
        <v>18</v>
      </c>
      <c r="G189" s="6">
        <v>2</v>
      </c>
      <c r="H189" s="3">
        <v>51000</v>
      </c>
      <c r="I189" s="5">
        <v>0.15</v>
      </c>
      <c r="J189" s="4">
        <v>3455.57</v>
      </c>
      <c r="K189" t="s">
        <v>52</v>
      </c>
      <c r="L189" t="s">
        <v>36</v>
      </c>
      <c r="M189" t="s">
        <v>37</v>
      </c>
      <c r="N189" t="s">
        <v>38</v>
      </c>
      <c r="O189" t="s">
        <v>23</v>
      </c>
    </row>
    <row r="190" spans="1:15" x14ac:dyDescent="0.3">
      <c r="A190" s="2" t="s">
        <v>1204</v>
      </c>
      <c r="B190" s="2">
        <v>45988</v>
      </c>
      <c r="C190" t="s">
        <v>450</v>
      </c>
      <c r="D190" t="s">
        <v>47</v>
      </c>
      <c r="E190" t="s">
        <v>74</v>
      </c>
      <c r="F190" t="s">
        <v>74</v>
      </c>
      <c r="G190" s="6">
        <v>2</v>
      </c>
      <c r="H190" s="3">
        <v>32040</v>
      </c>
      <c r="I190" s="5">
        <v>0.11</v>
      </c>
      <c r="J190" s="4">
        <v>3447.29</v>
      </c>
      <c r="K190" t="s">
        <v>19</v>
      </c>
      <c r="L190" t="s">
        <v>53</v>
      </c>
      <c r="M190" t="s">
        <v>54</v>
      </c>
      <c r="N190" t="s">
        <v>55</v>
      </c>
      <c r="O190" t="s">
        <v>44</v>
      </c>
    </row>
    <row r="191" spans="1:15" x14ac:dyDescent="0.3">
      <c r="A191" s="2" t="s">
        <v>1165</v>
      </c>
      <c r="B191" s="2">
        <v>45973</v>
      </c>
      <c r="C191" t="s">
        <v>706</v>
      </c>
      <c r="D191" t="s">
        <v>68</v>
      </c>
      <c r="E191" t="s">
        <v>153</v>
      </c>
      <c r="F191" t="s">
        <v>153</v>
      </c>
      <c r="G191" s="6">
        <v>2</v>
      </c>
      <c r="H191" s="3">
        <v>1968</v>
      </c>
      <c r="I191" s="5">
        <v>0.18</v>
      </c>
      <c r="J191" s="4">
        <v>369.05</v>
      </c>
      <c r="K191" t="s">
        <v>19</v>
      </c>
      <c r="L191" t="s">
        <v>36</v>
      </c>
      <c r="M191" t="s">
        <v>101</v>
      </c>
      <c r="N191" t="s">
        <v>38</v>
      </c>
      <c r="O191" t="s">
        <v>23</v>
      </c>
    </row>
    <row r="192" spans="1:15" x14ac:dyDescent="0.3">
      <c r="A192" s="2" t="s">
        <v>399</v>
      </c>
      <c r="B192" s="2">
        <v>45724</v>
      </c>
      <c r="C192" t="s">
        <v>400</v>
      </c>
      <c r="D192" t="s">
        <v>34</v>
      </c>
      <c r="E192" t="s">
        <v>227</v>
      </c>
      <c r="F192" t="s">
        <v>227</v>
      </c>
      <c r="G192" s="6">
        <v>3</v>
      </c>
      <c r="H192" s="3">
        <v>17550</v>
      </c>
      <c r="I192" s="5">
        <v>0.1</v>
      </c>
      <c r="J192" s="4">
        <v>2002.3</v>
      </c>
      <c r="K192" t="s">
        <v>75</v>
      </c>
      <c r="L192" t="s">
        <v>36</v>
      </c>
      <c r="M192" t="s">
        <v>101</v>
      </c>
      <c r="N192" t="s">
        <v>38</v>
      </c>
      <c r="O192" t="s">
        <v>44</v>
      </c>
    </row>
    <row r="193" spans="1:15" x14ac:dyDescent="0.3">
      <c r="A193" s="2" t="s">
        <v>852</v>
      </c>
      <c r="B193" s="2">
        <v>45863</v>
      </c>
      <c r="C193" t="s">
        <v>551</v>
      </c>
      <c r="D193" t="s">
        <v>34</v>
      </c>
      <c r="E193" t="s">
        <v>35</v>
      </c>
      <c r="F193" t="s">
        <v>35</v>
      </c>
      <c r="G193" s="6">
        <v>1</v>
      </c>
      <c r="H193" s="3">
        <v>936</v>
      </c>
      <c r="I193" s="5">
        <v>0.22</v>
      </c>
      <c r="J193" s="4">
        <v>170.23</v>
      </c>
      <c r="K193" t="s">
        <v>65</v>
      </c>
      <c r="L193" t="s">
        <v>36</v>
      </c>
      <c r="M193" t="s">
        <v>128</v>
      </c>
      <c r="N193" t="s">
        <v>38</v>
      </c>
      <c r="O193" t="s">
        <v>44</v>
      </c>
    </row>
    <row r="194" spans="1:15" x14ac:dyDescent="0.3">
      <c r="A194" s="2" t="s">
        <v>956</v>
      </c>
      <c r="B194" s="2">
        <v>45895</v>
      </c>
      <c r="C194" t="s">
        <v>400</v>
      </c>
      <c r="D194" t="s">
        <v>47</v>
      </c>
      <c r="E194" t="s">
        <v>74</v>
      </c>
      <c r="F194" t="s">
        <v>74</v>
      </c>
      <c r="G194" s="6">
        <v>1</v>
      </c>
      <c r="H194" s="3">
        <v>16920</v>
      </c>
      <c r="I194" s="5">
        <v>0.06</v>
      </c>
      <c r="J194" s="4">
        <v>1732.09</v>
      </c>
      <c r="K194" t="s">
        <v>28</v>
      </c>
      <c r="L194" t="s">
        <v>36</v>
      </c>
      <c r="M194" t="s">
        <v>37</v>
      </c>
      <c r="N194" t="s">
        <v>38</v>
      </c>
      <c r="O194" t="s">
        <v>23</v>
      </c>
    </row>
    <row r="195" spans="1:15" x14ac:dyDescent="0.3">
      <c r="A195" s="2" t="s">
        <v>455</v>
      </c>
      <c r="B195" s="2">
        <v>45736</v>
      </c>
      <c r="C195" t="s">
        <v>249</v>
      </c>
      <c r="D195" t="s">
        <v>47</v>
      </c>
      <c r="E195" t="s">
        <v>240</v>
      </c>
      <c r="F195" t="s">
        <v>240</v>
      </c>
      <c r="G195" s="6">
        <v>2</v>
      </c>
      <c r="H195" s="3">
        <v>4400</v>
      </c>
      <c r="I195" s="5">
        <v>0.12</v>
      </c>
      <c r="J195" s="4">
        <v>600.15</v>
      </c>
      <c r="K195" t="s">
        <v>28</v>
      </c>
      <c r="L195" t="s">
        <v>60</v>
      </c>
      <c r="M195" t="s">
        <v>61</v>
      </c>
      <c r="N195" t="s">
        <v>38</v>
      </c>
      <c r="O195" t="s">
        <v>44</v>
      </c>
    </row>
    <row r="196" spans="1:15" x14ac:dyDescent="0.3">
      <c r="A196" s="2" t="s">
        <v>1089</v>
      </c>
      <c r="B196" s="2">
        <v>45944</v>
      </c>
      <c r="C196" t="s">
        <v>721</v>
      </c>
      <c r="D196" t="s">
        <v>47</v>
      </c>
      <c r="E196" t="s">
        <v>224</v>
      </c>
      <c r="F196" t="s">
        <v>224</v>
      </c>
      <c r="G196" s="6">
        <v>1</v>
      </c>
      <c r="H196" s="3">
        <v>4450</v>
      </c>
      <c r="I196" s="5">
        <v>0.11</v>
      </c>
      <c r="J196" s="4">
        <v>511.57</v>
      </c>
      <c r="K196" t="s">
        <v>75</v>
      </c>
      <c r="L196" t="s">
        <v>97</v>
      </c>
      <c r="M196" t="s">
        <v>98</v>
      </c>
      <c r="N196" t="s">
        <v>31</v>
      </c>
      <c r="O196" t="s">
        <v>23</v>
      </c>
    </row>
    <row r="197" spans="1:15" x14ac:dyDescent="0.3">
      <c r="A197" s="2" t="s">
        <v>469</v>
      </c>
      <c r="B197" s="2">
        <v>45740</v>
      </c>
      <c r="C197" t="s">
        <v>211</v>
      </c>
      <c r="D197" t="s">
        <v>17</v>
      </c>
      <c r="E197" t="s">
        <v>85</v>
      </c>
      <c r="F197" t="s">
        <v>85</v>
      </c>
      <c r="G197" s="6">
        <v>1</v>
      </c>
      <c r="H197" s="3">
        <v>6375</v>
      </c>
      <c r="I197" s="5">
        <v>0.15</v>
      </c>
      <c r="J197" s="4">
        <v>739.43</v>
      </c>
      <c r="K197" t="s">
        <v>65</v>
      </c>
      <c r="L197" t="s">
        <v>121</v>
      </c>
      <c r="M197" t="s">
        <v>122</v>
      </c>
      <c r="N197" t="s">
        <v>55</v>
      </c>
      <c r="O197" t="s">
        <v>44</v>
      </c>
    </row>
    <row r="198" spans="1:15" x14ac:dyDescent="0.3">
      <c r="A198" s="2" t="s">
        <v>536</v>
      </c>
      <c r="B198" s="2">
        <v>45760</v>
      </c>
      <c r="C198" t="s">
        <v>63</v>
      </c>
      <c r="D198" t="s">
        <v>34</v>
      </c>
      <c r="E198" t="s">
        <v>41</v>
      </c>
      <c r="F198" t="s">
        <v>41</v>
      </c>
      <c r="G198" s="6">
        <v>2</v>
      </c>
      <c r="H198" s="3">
        <v>9200</v>
      </c>
      <c r="I198" s="5">
        <v>0.08</v>
      </c>
      <c r="J198" s="4">
        <v>1497.86</v>
      </c>
      <c r="K198" t="s">
        <v>65</v>
      </c>
      <c r="L198" t="s">
        <v>86</v>
      </c>
      <c r="M198" t="s">
        <v>87</v>
      </c>
      <c r="N198" t="s">
        <v>38</v>
      </c>
      <c r="O198" t="s">
        <v>23</v>
      </c>
    </row>
    <row r="199" spans="1:15" x14ac:dyDescent="0.3">
      <c r="A199" s="2" t="s">
        <v>769</v>
      </c>
      <c r="B199" s="2">
        <v>45835</v>
      </c>
      <c r="C199" t="s">
        <v>341</v>
      </c>
      <c r="D199" t="s">
        <v>68</v>
      </c>
      <c r="E199" t="s">
        <v>153</v>
      </c>
      <c r="F199" t="s">
        <v>153</v>
      </c>
      <c r="G199" s="6">
        <v>2</v>
      </c>
      <c r="H199" s="3">
        <v>1824</v>
      </c>
      <c r="I199" s="5">
        <v>0.24</v>
      </c>
      <c r="J199" s="4">
        <v>298.25</v>
      </c>
      <c r="K199" t="s">
        <v>49</v>
      </c>
      <c r="L199" t="s">
        <v>36</v>
      </c>
      <c r="M199" t="s">
        <v>101</v>
      </c>
      <c r="N199" t="s">
        <v>38</v>
      </c>
      <c r="O199" t="s">
        <v>23</v>
      </c>
    </row>
    <row r="200" spans="1:15" x14ac:dyDescent="0.3">
      <c r="A200" s="2" t="s">
        <v>938</v>
      </c>
      <c r="B200" s="2">
        <v>45886</v>
      </c>
      <c r="C200" t="s">
        <v>918</v>
      </c>
      <c r="D200" t="s">
        <v>26</v>
      </c>
      <c r="E200" t="s">
        <v>27</v>
      </c>
      <c r="F200" t="s">
        <v>27</v>
      </c>
      <c r="G200" s="6">
        <v>2</v>
      </c>
      <c r="H200" s="3">
        <v>2240</v>
      </c>
      <c r="I200" s="5">
        <v>0.2</v>
      </c>
      <c r="J200" s="4">
        <v>415.84</v>
      </c>
      <c r="K200" t="s">
        <v>28</v>
      </c>
      <c r="L200" t="s">
        <v>60</v>
      </c>
      <c r="M200" t="s">
        <v>61</v>
      </c>
      <c r="N200" t="s">
        <v>38</v>
      </c>
      <c r="O200" t="s">
        <v>23</v>
      </c>
    </row>
    <row r="201" spans="1:15" x14ac:dyDescent="0.3">
      <c r="A201" s="2" t="s">
        <v>390</v>
      </c>
      <c r="B201" s="2">
        <v>45722</v>
      </c>
      <c r="C201" t="s">
        <v>84</v>
      </c>
      <c r="D201" t="s">
        <v>17</v>
      </c>
      <c r="E201" t="s">
        <v>158</v>
      </c>
      <c r="F201" t="s">
        <v>158</v>
      </c>
      <c r="G201" s="6">
        <v>2</v>
      </c>
      <c r="H201" s="3">
        <v>35640</v>
      </c>
      <c r="I201" s="5">
        <v>0.19</v>
      </c>
      <c r="J201" s="4">
        <v>4879.28</v>
      </c>
      <c r="K201" t="s">
        <v>28</v>
      </c>
      <c r="L201" t="s">
        <v>53</v>
      </c>
      <c r="M201" t="s">
        <v>54</v>
      </c>
      <c r="N201" t="s">
        <v>55</v>
      </c>
      <c r="O201" t="s">
        <v>23</v>
      </c>
    </row>
    <row r="202" spans="1:15" x14ac:dyDescent="0.3">
      <c r="A202" s="2" t="s">
        <v>803</v>
      </c>
      <c r="B202" s="2">
        <v>45845</v>
      </c>
      <c r="C202" t="s">
        <v>667</v>
      </c>
      <c r="D202" t="s">
        <v>17</v>
      </c>
      <c r="E202" t="s">
        <v>90</v>
      </c>
      <c r="F202" t="s">
        <v>90</v>
      </c>
      <c r="G202" s="6">
        <v>2</v>
      </c>
      <c r="H202" s="3">
        <v>8700</v>
      </c>
      <c r="I202" s="5">
        <v>0.13</v>
      </c>
      <c r="J202" s="4">
        <v>948.28</v>
      </c>
      <c r="K202" t="s">
        <v>65</v>
      </c>
      <c r="L202" t="s">
        <v>86</v>
      </c>
      <c r="M202" t="s">
        <v>87</v>
      </c>
      <c r="N202" t="s">
        <v>38</v>
      </c>
      <c r="O202" t="s">
        <v>23</v>
      </c>
    </row>
    <row r="203" spans="1:15" x14ac:dyDescent="0.3">
      <c r="A203" s="2" t="s">
        <v>948</v>
      </c>
      <c r="B203" s="2">
        <v>45890</v>
      </c>
      <c r="C203" t="s">
        <v>218</v>
      </c>
      <c r="D203" t="s">
        <v>58</v>
      </c>
      <c r="E203" t="s">
        <v>138</v>
      </c>
      <c r="F203" t="s">
        <v>138</v>
      </c>
      <c r="G203" s="6">
        <v>2</v>
      </c>
      <c r="H203" s="3">
        <v>3784</v>
      </c>
      <c r="I203" s="5">
        <v>0.14000000000000001</v>
      </c>
      <c r="J203" s="4">
        <v>702.51</v>
      </c>
      <c r="K203" t="s">
        <v>28</v>
      </c>
      <c r="L203" t="s">
        <v>97</v>
      </c>
      <c r="M203" t="s">
        <v>163</v>
      </c>
      <c r="N203" t="s">
        <v>31</v>
      </c>
      <c r="O203" t="s">
        <v>44</v>
      </c>
    </row>
    <row r="204" spans="1:15" x14ac:dyDescent="0.3">
      <c r="A204" s="2" t="s">
        <v>589</v>
      </c>
      <c r="B204" s="2">
        <v>45777</v>
      </c>
      <c r="C204" t="s">
        <v>419</v>
      </c>
      <c r="D204" t="s">
        <v>17</v>
      </c>
      <c r="E204" t="s">
        <v>85</v>
      </c>
      <c r="F204" t="s">
        <v>85</v>
      </c>
      <c r="G204" s="6">
        <v>4</v>
      </c>
      <c r="H204" s="3">
        <v>25200</v>
      </c>
      <c r="I204" s="5">
        <v>0.16</v>
      </c>
      <c r="J204" s="4">
        <v>4426.3900000000003</v>
      </c>
      <c r="K204" t="s">
        <v>75</v>
      </c>
      <c r="L204" t="s">
        <v>36</v>
      </c>
      <c r="M204" t="s">
        <v>128</v>
      </c>
      <c r="N204" t="s">
        <v>38</v>
      </c>
      <c r="O204" t="s">
        <v>23</v>
      </c>
    </row>
    <row r="205" spans="1:15" x14ac:dyDescent="0.3">
      <c r="A205" s="2" t="s">
        <v>1075</v>
      </c>
      <c r="B205" s="2">
        <v>45941</v>
      </c>
      <c r="C205" t="s">
        <v>355</v>
      </c>
      <c r="D205" t="s">
        <v>17</v>
      </c>
      <c r="E205" t="s">
        <v>90</v>
      </c>
      <c r="F205" t="s">
        <v>90</v>
      </c>
      <c r="G205" s="6">
        <v>3</v>
      </c>
      <c r="H205" s="3">
        <v>12000</v>
      </c>
      <c r="I205" s="5">
        <v>0.2</v>
      </c>
      <c r="J205" s="4">
        <v>1409.79</v>
      </c>
      <c r="K205" t="s">
        <v>52</v>
      </c>
      <c r="L205" t="s">
        <v>170</v>
      </c>
      <c r="M205" t="s">
        <v>171</v>
      </c>
      <c r="N205" t="s">
        <v>31</v>
      </c>
      <c r="O205" t="s">
        <v>44</v>
      </c>
    </row>
    <row r="206" spans="1:15" x14ac:dyDescent="0.3">
      <c r="A206" s="2" t="s">
        <v>407</v>
      </c>
      <c r="B206" s="2">
        <v>45726</v>
      </c>
      <c r="C206" t="s">
        <v>92</v>
      </c>
      <c r="D206" t="s">
        <v>95</v>
      </c>
      <c r="E206" t="s">
        <v>125</v>
      </c>
      <c r="F206" t="s">
        <v>125</v>
      </c>
      <c r="G206" s="6">
        <v>1</v>
      </c>
      <c r="H206" s="3">
        <v>1548</v>
      </c>
      <c r="I206" s="5">
        <v>0.14000000000000001</v>
      </c>
      <c r="J206" s="4">
        <v>229.27</v>
      </c>
      <c r="K206" t="s">
        <v>52</v>
      </c>
      <c r="L206" t="s">
        <v>170</v>
      </c>
      <c r="M206" t="s">
        <v>171</v>
      </c>
      <c r="N206" t="s">
        <v>31</v>
      </c>
      <c r="O206" t="s">
        <v>44</v>
      </c>
    </row>
    <row r="207" spans="1:15" x14ac:dyDescent="0.3">
      <c r="A207" s="2" t="s">
        <v>701</v>
      </c>
      <c r="B207" s="2">
        <v>45809</v>
      </c>
      <c r="C207" t="s">
        <v>190</v>
      </c>
      <c r="D207" t="s">
        <v>34</v>
      </c>
      <c r="E207" t="s">
        <v>41</v>
      </c>
      <c r="F207" t="s">
        <v>41</v>
      </c>
      <c r="G207" s="6">
        <v>2</v>
      </c>
      <c r="H207" s="3">
        <v>9600</v>
      </c>
      <c r="I207" s="5">
        <v>0.04</v>
      </c>
      <c r="J207" s="4">
        <v>1388.58</v>
      </c>
      <c r="K207" t="s">
        <v>65</v>
      </c>
      <c r="L207" t="s">
        <v>78</v>
      </c>
      <c r="M207" t="s">
        <v>79</v>
      </c>
      <c r="N207" t="s">
        <v>22</v>
      </c>
      <c r="O207" t="s">
        <v>44</v>
      </c>
    </row>
    <row r="208" spans="1:15" x14ac:dyDescent="0.3">
      <c r="A208" s="2" t="s">
        <v>222</v>
      </c>
      <c r="B208" s="2">
        <v>45685</v>
      </c>
      <c r="C208" t="s">
        <v>223</v>
      </c>
      <c r="D208" t="s">
        <v>47</v>
      </c>
      <c r="E208" t="s">
        <v>224</v>
      </c>
      <c r="F208" t="s">
        <v>224</v>
      </c>
      <c r="G208" s="6">
        <v>2</v>
      </c>
      <c r="H208" s="3">
        <v>8300</v>
      </c>
      <c r="I208" s="5">
        <v>0.17</v>
      </c>
      <c r="J208" s="4">
        <v>1228.18</v>
      </c>
      <c r="K208" t="s">
        <v>19</v>
      </c>
      <c r="L208" t="s">
        <v>97</v>
      </c>
      <c r="M208" t="s">
        <v>163</v>
      </c>
      <c r="N208" t="s">
        <v>31</v>
      </c>
      <c r="O208" t="s">
        <v>23</v>
      </c>
    </row>
    <row r="209" spans="1:15" x14ac:dyDescent="0.3">
      <c r="A209" s="2" t="s">
        <v>1007</v>
      </c>
      <c r="B209" s="2">
        <v>45913</v>
      </c>
      <c r="C209" t="s">
        <v>349</v>
      </c>
      <c r="D209" t="s">
        <v>26</v>
      </c>
      <c r="E209" t="s">
        <v>133</v>
      </c>
      <c r="F209" t="s">
        <v>133</v>
      </c>
      <c r="G209" s="6">
        <v>4</v>
      </c>
      <c r="H209" s="3">
        <v>9408</v>
      </c>
      <c r="I209" s="5">
        <v>0.16</v>
      </c>
      <c r="J209" s="4">
        <v>1481.18</v>
      </c>
      <c r="K209" t="s">
        <v>65</v>
      </c>
      <c r="L209" t="s">
        <v>134</v>
      </c>
      <c r="M209" t="s">
        <v>135</v>
      </c>
      <c r="N209" t="s">
        <v>55</v>
      </c>
      <c r="O209" t="s">
        <v>23</v>
      </c>
    </row>
    <row r="210" spans="1:15" x14ac:dyDescent="0.3">
      <c r="A210" s="2" t="s">
        <v>750</v>
      </c>
      <c r="B210" s="2">
        <v>45826</v>
      </c>
      <c r="C210" t="s">
        <v>347</v>
      </c>
      <c r="D210" t="s">
        <v>26</v>
      </c>
      <c r="E210" t="s">
        <v>133</v>
      </c>
      <c r="F210" t="s">
        <v>133</v>
      </c>
      <c r="G210" s="6">
        <v>5</v>
      </c>
      <c r="H210" s="3">
        <v>10780</v>
      </c>
      <c r="I210" s="5">
        <v>0.23</v>
      </c>
      <c r="J210" s="4">
        <v>1818.35</v>
      </c>
      <c r="K210" t="s">
        <v>28</v>
      </c>
      <c r="L210" t="s">
        <v>97</v>
      </c>
      <c r="M210" t="s">
        <v>163</v>
      </c>
      <c r="N210" t="s">
        <v>31</v>
      </c>
      <c r="O210" t="s">
        <v>23</v>
      </c>
    </row>
    <row r="211" spans="1:15" x14ac:dyDescent="0.3">
      <c r="A211" s="2" t="s">
        <v>1012</v>
      </c>
      <c r="B211" s="2">
        <v>45915</v>
      </c>
      <c r="C211" t="s">
        <v>663</v>
      </c>
      <c r="D211" t="s">
        <v>17</v>
      </c>
      <c r="E211" t="s">
        <v>158</v>
      </c>
      <c r="F211" t="s">
        <v>158</v>
      </c>
      <c r="G211" s="6">
        <v>2</v>
      </c>
      <c r="H211" s="3">
        <v>36080</v>
      </c>
      <c r="I211" s="5">
        <v>0.18</v>
      </c>
      <c r="J211" s="4">
        <v>4716.99</v>
      </c>
      <c r="K211" t="s">
        <v>49</v>
      </c>
      <c r="L211" t="s">
        <v>36</v>
      </c>
      <c r="M211" t="s">
        <v>37</v>
      </c>
      <c r="N211" t="s">
        <v>38</v>
      </c>
      <c r="O211" t="s">
        <v>23</v>
      </c>
    </row>
    <row r="212" spans="1:15" x14ac:dyDescent="0.3">
      <c r="A212" s="2" t="s">
        <v>785</v>
      </c>
      <c r="B212" s="2">
        <v>45840</v>
      </c>
      <c r="C212" t="s">
        <v>437</v>
      </c>
      <c r="D212" t="s">
        <v>17</v>
      </c>
      <c r="E212" t="s">
        <v>85</v>
      </c>
      <c r="F212" t="s">
        <v>85</v>
      </c>
      <c r="G212" s="6">
        <v>4</v>
      </c>
      <c r="H212" s="3">
        <v>23700</v>
      </c>
      <c r="I212" s="5">
        <v>0.21</v>
      </c>
      <c r="J212" s="4">
        <v>1819.26</v>
      </c>
      <c r="K212" t="s">
        <v>19</v>
      </c>
      <c r="L212" t="s">
        <v>53</v>
      </c>
      <c r="M212" t="s">
        <v>54</v>
      </c>
      <c r="N212" t="s">
        <v>55</v>
      </c>
      <c r="O212" t="s">
        <v>23</v>
      </c>
    </row>
    <row r="213" spans="1:15" x14ac:dyDescent="0.3">
      <c r="A213" s="2" t="s">
        <v>760</v>
      </c>
      <c r="B213" s="2">
        <v>45829</v>
      </c>
      <c r="C213" t="s">
        <v>299</v>
      </c>
      <c r="D213" t="s">
        <v>95</v>
      </c>
      <c r="E213" t="s">
        <v>125</v>
      </c>
      <c r="F213" t="s">
        <v>125</v>
      </c>
      <c r="G213" s="6">
        <v>1</v>
      </c>
      <c r="H213" s="3">
        <v>1494</v>
      </c>
      <c r="I213" s="5">
        <v>0.17</v>
      </c>
      <c r="J213" s="4">
        <v>254.57</v>
      </c>
      <c r="K213" t="s">
        <v>75</v>
      </c>
      <c r="L213" t="s">
        <v>36</v>
      </c>
      <c r="M213" t="s">
        <v>101</v>
      </c>
      <c r="N213" t="s">
        <v>38</v>
      </c>
      <c r="O213" t="s">
        <v>44</v>
      </c>
    </row>
    <row r="214" spans="1:15" x14ac:dyDescent="0.3">
      <c r="A214" s="2" t="s">
        <v>154</v>
      </c>
      <c r="B214" s="2">
        <v>45675</v>
      </c>
      <c r="C214" t="s">
        <v>155</v>
      </c>
      <c r="D214" t="s">
        <v>26</v>
      </c>
      <c r="E214" t="s">
        <v>64</v>
      </c>
      <c r="F214" t="s">
        <v>64</v>
      </c>
      <c r="G214" s="6">
        <v>2</v>
      </c>
      <c r="H214" s="3">
        <v>1494</v>
      </c>
      <c r="I214" s="5">
        <v>0.17</v>
      </c>
      <c r="J214" s="4">
        <v>307.55</v>
      </c>
      <c r="K214" t="s">
        <v>19</v>
      </c>
      <c r="L214" t="s">
        <v>97</v>
      </c>
      <c r="M214" t="s">
        <v>98</v>
      </c>
      <c r="N214" t="s">
        <v>31</v>
      </c>
      <c r="O214" t="s">
        <v>44</v>
      </c>
    </row>
    <row r="215" spans="1:15" x14ac:dyDescent="0.3">
      <c r="A215" s="2" t="s">
        <v>1010</v>
      </c>
      <c r="B215" s="2">
        <v>45915</v>
      </c>
      <c r="C215" t="s">
        <v>247</v>
      </c>
      <c r="D215" t="s">
        <v>58</v>
      </c>
      <c r="E215" t="s">
        <v>138</v>
      </c>
      <c r="F215" t="s">
        <v>138</v>
      </c>
      <c r="G215" s="6">
        <v>2</v>
      </c>
      <c r="H215" s="3">
        <v>3608</v>
      </c>
      <c r="I215" s="5">
        <v>0.18</v>
      </c>
      <c r="J215" s="4">
        <v>629.41</v>
      </c>
      <c r="K215" t="s">
        <v>49</v>
      </c>
      <c r="L215" t="s">
        <v>70</v>
      </c>
      <c r="M215" t="s">
        <v>71</v>
      </c>
      <c r="N215" t="s">
        <v>55</v>
      </c>
      <c r="O215" t="s">
        <v>23</v>
      </c>
    </row>
    <row r="216" spans="1:15" x14ac:dyDescent="0.3">
      <c r="A216" s="2" t="s">
        <v>755</v>
      </c>
      <c r="B216" s="2">
        <v>45828</v>
      </c>
      <c r="C216" t="s">
        <v>345</v>
      </c>
      <c r="D216" t="s">
        <v>68</v>
      </c>
      <c r="E216" t="s">
        <v>153</v>
      </c>
      <c r="F216" t="s">
        <v>153</v>
      </c>
      <c r="G216" s="6">
        <v>1</v>
      </c>
      <c r="H216" s="3">
        <v>1068</v>
      </c>
      <c r="I216" s="5">
        <v>0.11</v>
      </c>
      <c r="J216" s="4">
        <v>205.01</v>
      </c>
      <c r="K216" t="s">
        <v>28</v>
      </c>
      <c r="L216" t="s">
        <v>159</v>
      </c>
      <c r="M216" t="s">
        <v>160</v>
      </c>
      <c r="N216" t="s">
        <v>38</v>
      </c>
      <c r="O216" t="s">
        <v>23</v>
      </c>
    </row>
    <row r="217" spans="1:15" x14ac:dyDescent="0.3">
      <c r="A217" s="2" t="s">
        <v>607</v>
      </c>
      <c r="B217" s="2">
        <v>45785</v>
      </c>
      <c r="C217" t="s">
        <v>211</v>
      </c>
      <c r="D217" t="s">
        <v>68</v>
      </c>
      <c r="E217" t="s">
        <v>153</v>
      </c>
      <c r="F217" t="s">
        <v>153</v>
      </c>
      <c r="G217" s="6">
        <v>3</v>
      </c>
      <c r="H217" s="3">
        <v>2988</v>
      </c>
      <c r="I217" s="5">
        <v>0.17</v>
      </c>
      <c r="J217" s="4">
        <v>566.25</v>
      </c>
      <c r="K217" t="s">
        <v>65</v>
      </c>
      <c r="L217" t="s">
        <v>36</v>
      </c>
      <c r="M217" t="s">
        <v>128</v>
      </c>
      <c r="N217" t="s">
        <v>38</v>
      </c>
      <c r="O217" t="s">
        <v>23</v>
      </c>
    </row>
    <row r="218" spans="1:15" x14ac:dyDescent="0.3">
      <c r="A218" s="2" t="s">
        <v>541</v>
      </c>
      <c r="B218" s="2">
        <v>45761</v>
      </c>
      <c r="C218" t="s">
        <v>152</v>
      </c>
      <c r="D218" t="s">
        <v>68</v>
      </c>
      <c r="E218" t="s">
        <v>120</v>
      </c>
      <c r="F218" t="s">
        <v>120</v>
      </c>
      <c r="G218" s="6">
        <v>5</v>
      </c>
      <c r="H218" s="3">
        <v>2905</v>
      </c>
      <c r="I218" s="5">
        <v>0.17</v>
      </c>
      <c r="J218" s="4">
        <v>630.24</v>
      </c>
      <c r="K218" t="s">
        <v>49</v>
      </c>
      <c r="L218" t="s">
        <v>78</v>
      </c>
      <c r="M218" t="s">
        <v>79</v>
      </c>
      <c r="N218" t="s">
        <v>22</v>
      </c>
      <c r="O218" t="s">
        <v>44</v>
      </c>
    </row>
    <row r="219" spans="1:15" x14ac:dyDescent="0.3">
      <c r="A219" s="2" t="s">
        <v>574</v>
      </c>
      <c r="B219" s="2">
        <v>45769</v>
      </c>
      <c r="C219" t="s">
        <v>450</v>
      </c>
      <c r="D219" t="s">
        <v>17</v>
      </c>
      <c r="E219" t="s">
        <v>158</v>
      </c>
      <c r="F219" t="s">
        <v>158</v>
      </c>
      <c r="G219" s="6">
        <v>4</v>
      </c>
      <c r="H219" s="3">
        <v>72160</v>
      </c>
      <c r="I219" s="5">
        <v>0.18</v>
      </c>
      <c r="J219" s="4">
        <v>7964.1</v>
      </c>
      <c r="K219" t="s">
        <v>52</v>
      </c>
      <c r="L219" t="s">
        <v>42</v>
      </c>
      <c r="M219" t="s">
        <v>43</v>
      </c>
      <c r="N219" t="s">
        <v>22</v>
      </c>
      <c r="O219" t="s">
        <v>44</v>
      </c>
    </row>
    <row r="220" spans="1:15" x14ac:dyDescent="0.3">
      <c r="A220" s="2" t="s">
        <v>179</v>
      </c>
      <c r="B220" s="2">
        <v>45677</v>
      </c>
      <c r="C220" t="s">
        <v>180</v>
      </c>
      <c r="D220" t="s">
        <v>17</v>
      </c>
      <c r="E220" t="s">
        <v>90</v>
      </c>
      <c r="F220" t="s">
        <v>90</v>
      </c>
      <c r="G220" s="6">
        <v>1</v>
      </c>
      <c r="H220" s="3">
        <v>4150</v>
      </c>
      <c r="I220" s="5">
        <v>0.17</v>
      </c>
      <c r="J220" s="4">
        <v>583.28</v>
      </c>
      <c r="K220" t="s">
        <v>28</v>
      </c>
      <c r="L220" t="s">
        <v>159</v>
      </c>
      <c r="M220" t="s">
        <v>160</v>
      </c>
      <c r="N220" t="s">
        <v>38</v>
      </c>
      <c r="O220" t="s">
        <v>23</v>
      </c>
    </row>
    <row r="221" spans="1:15" x14ac:dyDescent="0.3">
      <c r="A221" s="2" t="s">
        <v>181</v>
      </c>
      <c r="B221" s="2">
        <v>45677</v>
      </c>
      <c r="C221" t="s">
        <v>63</v>
      </c>
      <c r="D221" t="s">
        <v>17</v>
      </c>
      <c r="E221" t="s">
        <v>110</v>
      </c>
      <c r="F221" t="s">
        <v>110</v>
      </c>
      <c r="G221" s="6">
        <v>3</v>
      </c>
      <c r="H221" s="3">
        <v>16770</v>
      </c>
      <c r="I221" s="5">
        <v>0.14000000000000001</v>
      </c>
      <c r="J221" s="4">
        <v>1862.43</v>
      </c>
      <c r="K221" t="s">
        <v>28</v>
      </c>
      <c r="L221" t="s">
        <v>60</v>
      </c>
      <c r="M221" t="s">
        <v>61</v>
      </c>
      <c r="N221" t="s">
        <v>38</v>
      </c>
      <c r="O221" t="s">
        <v>23</v>
      </c>
    </row>
    <row r="222" spans="1:15" x14ac:dyDescent="0.3">
      <c r="A222" s="2" t="s">
        <v>1015</v>
      </c>
      <c r="B222" s="2">
        <v>45917</v>
      </c>
      <c r="C222" t="s">
        <v>285</v>
      </c>
      <c r="D222" t="s">
        <v>34</v>
      </c>
      <c r="E222" t="s">
        <v>35</v>
      </c>
      <c r="F222" t="s">
        <v>35</v>
      </c>
      <c r="G222" s="6">
        <v>1</v>
      </c>
      <c r="H222" s="3">
        <v>1008</v>
      </c>
      <c r="I222" s="5">
        <v>0.16</v>
      </c>
      <c r="J222" s="4">
        <v>235.83</v>
      </c>
      <c r="K222" t="s">
        <v>49</v>
      </c>
      <c r="L222" t="s">
        <v>78</v>
      </c>
      <c r="M222" t="s">
        <v>79</v>
      </c>
      <c r="N222" t="s">
        <v>22</v>
      </c>
      <c r="O222" t="s">
        <v>23</v>
      </c>
    </row>
    <row r="223" spans="1:15" x14ac:dyDescent="0.3">
      <c r="A223" s="2" t="s">
        <v>342</v>
      </c>
      <c r="B223" s="2">
        <v>45712</v>
      </c>
      <c r="C223" t="s">
        <v>343</v>
      </c>
      <c r="D223" t="s">
        <v>47</v>
      </c>
      <c r="E223" t="s">
        <v>240</v>
      </c>
      <c r="F223" t="s">
        <v>240</v>
      </c>
      <c r="G223" s="6">
        <v>3</v>
      </c>
      <c r="H223" s="3">
        <v>5925</v>
      </c>
      <c r="I223" s="5">
        <v>0.21</v>
      </c>
      <c r="J223" s="4">
        <v>971.17</v>
      </c>
      <c r="K223" t="s">
        <v>49</v>
      </c>
      <c r="L223" t="s">
        <v>53</v>
      </c>
      <c r="M223" t="s">
        <v>54</v>
      </c>
      <c r="N223" t="s">
        <v>55</v>
      </c>
      <c r="O223" t="s">
        <v>23</v>
      </c>
    </row>
    <row r="224" spans="1:15" x14ac:dyDescent="0.3">
      <c r="A224" s="2" t="s">
        <v>1170</v>
      </c>
      <c r="B224" s="2">
        <v>45976</v>
      </c>
      <c r="C224" t="s">
        <v>386</v>
      </c>
      <c r="D224" t="s">
        <v>34</v>
      </c>
      <c r="E224" t="s">
        <v>143</v>
      </c>
      <c r="F224" t="s">
        <v>143</v>
      </c>
      <c r="G224" s="6">
        <v>2</v>
      </c>
      <c r="H224" s="3">
        <v>1216</v>
      </c>
      <c r="I224" s="5">
        <v>0.24</v>
      </c>
      <c r="J224" s="4">
        <v>244.67</v>
      </c>
      <c r="K224" t="s">
        <v>28</v>
      </c>
      <c r="L224" t="s">
        <v>60</v>
      </c>
      <c r="M224" t="s">
        <v>61</v>
      </c>
      <c r="N224" t="s">
        <v>38</v>
      </c>
      <c r="O224" t="s">
        <v>23</v>
      </c>
    </row>
    <row r="225" spans="1:15" x14ac:dyDescent="0.3">
      <c r="A225" s="2" t="s">
        <v>1262</v>
      </c>
      <c r="B225" s="2">
        <v>46007</v>
      </c>
      <c r="C225" t="s">
        <v>402</v>
      </c>
      <c r="D225" t="s">
        <v>95</v>
      </c>
      <c r="E225" t="s">
        <v>96</v>
      </c>
      <c r="F225" t="s">
        <v>96</v>
      </c>
      <c r="G225" s="6">
        <v>1</v>
      </c>
      <c r="H225" s="3">
        <v>738</v>
      </c>
      <c r="I225" s="5">
        <v>0.18</v>
      </c>
      <c r="J225" s="4">
        <v>129.68</v>
      </c>
      <c r="K225" t="s">
        <v>49</v>
      </c>
      <c r="L225" t="s">
        <v>70</v>
      </c>
      <c r="M225" t="s">
        <v>71</v>
      </c>
      <c r="N225" t="s">
        <v>55</v>
      </c>
      <c r="O225" t="s">
        <v>44</v>
      </c>
    </row>
    <row r="226" spans="1:15" x14ac:dyDescent="0.3">
      <c r="A226" s="2" t="s">
        <v>834</v>
      </c>
      <c r="B226" s="2">
        <v>45855</v>
      </c>
      <c r="C226" t="s">
        <v>481</v>
      </c>
      <c r="D226" t="s">
        <v>47</v>
      </c>
      <c r="E226" t="s">
        <v>240</v>
      </c>
      <c r="F226" t="s">
        <v>240</v>
      </c>
      <c r="G226" s="6">
        <v>2</v>
      </c>
      <c r="H226" s="3">
        <v>4300</v>
      </c>
      <c r="I226" s="5">
        <v>0.14000000000000001</v>
      </c>
      <c r="J226" s="4">
        <v>630.13</v>
      </c>
      <c r="K226" t="s">
        <v>19</v>
      </c>
      <c r="L226" t="s">
        <v>60</v>
      </c>
      <c r="M226" t="s">
        <v>61</v>
      </c>
      <c r="N226" t="s">
        <v>38</v>
      </c>
      <c r="O226" t="s">
        <v>23</v>
      </c>
    </row>
    <row r="227" spans="1:15" x14ac:dyDescent="0.3">
      <c r="A227" s="2" t="s">
        <v>646</v>
      </c>
      <c r="B227" s="2">
        <v>45794</v>
      </c>
      <c r="C227" t="s">
        <v>40</v>
      </c>
      <c r="D227" t="s">
        <v>58</v>
      </c>
      <c r="E227" t="s">
        <v>59</v>
      </c>
      <c r="F227" t="s">
        <v>59</v>
      </c>
      <c r="G227" s="6">
        <v>2</v>
      </c>
      <c r="H227" s="3">
        <v>738</v>
      </c>
      <c r="I227" s="5">
        <v>0.18</v>
      </c>
      <c r="J227" s="4">
        <v>112.18</v>
      </c>
      <c r="K227" t="s">
        <v>49</v>
      </c>
      <c r="L227" t="s">
        <v>53</v>
      </c>
      <c r="M227" t="s">
        <v>54</v>
      </c>
      <c r="N227" t="s">
        <v>55</v>
      </c>
      <c r="O227" t="s">
        <v>23</v>
      </c>
    </row>
    <row r="228" spans="1:15" x14ac:dyDescent="0.3">
      <c r="A228" s="2" t="s">
        <v>1263</v>
      </c>
      <c r="B228" s="2">
        <v>46007</v>
      </c>
      <c r="C228" t="s">
        <v>89</v>
      </c>
      <c r="D228" t="s">
        <v>47</v>
      </c>
      <c r="E228" t="s">
        <v>82</v>
      </c>
      <c r="F228" t="s">
        <v>82</v>
      </c>
      <c r="G228" s="6">
        <v>1</v>
      </c>
      <c r="H228" s="3">
        <v>3080</v>
      </c>
      <c r="I228" s="5">
        <v>0.12</v>
      </c>
      <c r="J228" s="4">
        <v>269.43</v>
      </c>
      <c r="K228" t="s">
        <v>65</v>
      </c>
      <c r="L228" t="s">
        <v>149</v>
      </c>
      <c r="M228" t="s">
        <v>175</v>
      </c>
      <c r="N228" t="s">
        <v>38</v>
      </c>
      <c r="O228" t="s">
        <v>44</v>
      </c>
    </row>
    <row r="229" spans="1:15" x14ac:dyDescent="0.3">
      <c r="A229" s="2" t="s">
        <v>1276</v>
      </c>
      <c r="B229" s="2">
        <v>46013</v>
      </c>
      <c r="C229" t="s">
        <v>46</v>
      </c>
      <c r="D229" t="s">
        <v>47</v>
      </c>
      <c r="E229" t="s">
        <v>82</v>
      </c>
      <c r="F229" t="s">
        <v>82</v>
      </c>
      <c r="G229" s="6">
        <v>5</v>
      </c>
      <c r="H229" s="3">
        <v>14875</v>
      </c>
      <c r="I229" s="5">
        <v>0.15</v>
      </c>
      <c r="J229" s="4">
        <v>1644.26</v>
      </c>
      <c r="K229" t="s">
        <v>49</v>
      </c>
      <c r="L229" t="s">
        <v>53</v>
      </c>
      <c r="M229" t="s">
        <v>54</v>
      </c>
      <c r="N229" t="s">
        <v>55</v>
      </c>
      <c r="O229" t="s">
        <v>44</v>
      </c>
    </row>
    <row r="230" spans="1:15" x14ac:dyDescent="0.3">
      <c r="A230" s="2" t="s">
        <v>1116</v>
      </c>
      <c r="B230" s="2">
        <v>45954</v>
      </c>
      <c r="C230" t="s">
        <v>779</v>
      </c>
      <c r="D230" t="s">
        <v>95</v>
      </c>
      <c r="E230" t="s">
        <v>185</v>
      </c>
      <c r="F230" t="s">
        <v>185</v>
      </c>
      <c r="G230" s="6">
        <v>2</v>
      </c>
      <c r="H230" s="3">
        <v>1944</v>
      </c>
      <c r="I230" s="5">
        <v>0.19</v>
      </c>
      <c r="J230" s="4">
        <v>316.95</v>
      </c>
      <c r="K230" t="s">
        <v>75</v>
      </c>
      <c r="L230" t="s">
        <v>42</v>
      </c>
      <c r="M230" t="s">
        <v>43</v>
      </c>
      <c r="N230" t="s">
        <v>22</v>
      </c>
      <c r="O230" t="s">
        <v>23</v>
      </c>
    </row>
    <row r="231" spans="1:15" x14ac:dyDescent="0.3">
      <c r="A231" s="2" t="s">
        <v>906</v>
      </c>
      <c r="B231" s="2">
        <v>45877</v>
      </c>
      <c r="C231" t="s">
        <v>907</v>
      </c>
      <c r="D231" t="s">
        <v>17</v>
      </c>
      <c r="E231" t="s">
        <v>18</v>
      </c>
      <c r="F231" t="s">
        <v>18</v>
      </c>
      <c r="G231" s="6">
        <v>3</v>
      </c>
      <c r="H231" s="3">
        <v>72900</v>
      </c>
      <c r="I231" s="5">
        <v>0.19</v>
      </c>
      <c r="J231" s="4">
        <v>7008.02</v>
      </c>
      <c r="K231" t="s">
        <v>52</v>
      </c>
      <c r="L231" t="s">
        <v>97</v>
      </c>
      <c r="M231" t="s">
        <v>163</v>
      </c>
      <c r="N231" t="s">
        <v>31</v>
      </c>
      <c r="O231" t="s">
        <v>23</v>
      </c>
    </row>
    <row r="232" spans="1:15" x14ac:dyDescent="0.3">
      <c r="A232" s="2" t="s">
        <v>1122</v>
      </c>
      <c r="B232" s="2">
        <v>45958</v>
      </c>
      <c r="C232" t="s">
        <v>183</v>
      </c>
      <c r="D232" t="s">
        <v>68</v>
      </c>
      <c r="E232" t="s">
        <v>69</v>
      </c>
      <c r="F232" t="s">
        <v>69</v>
      </c>
      <c r="G232" s="6">
        <v>3</v>
      </c>
      <c r="H232" s="3">
        <v>1140</v>
      </c>
      <c r="I232" s="5">
        <v>0.24</v>
      </c>
      <c r="J232" s="4">
        <v>214.06</v>
      </c>
      <c r="K232" t="s">
        <v>52</v>
      </c>
      <c r="L232" t="s">
        <v>97</v>
      </c>
      <c r="M232" t="s">
        <v>98</v>
      </c>
      <c r="N232" t="s">
        <v>31</v>
      </c>
      <c r="O232" t="s">
        <v>23</v>
      </c>
    </row>
    <row r="233" spans="1:15" x14ac:dyDescent="0.3">
      <c r="A233" s="2" t="s">
        <v>80</v>
      </c>
      <c r="B233" s="2">
        <v>45664</v>
      </c>
      <c r="C233" t="s">
        <v>81</v>
      </c>
      <c r="D233" t="s">
        <v>47</v>
      </c>
      <c r="E233" t="s">
        <v>82</v>
      </c>
      <c r="F233" t="s">
        <v>82</v>
      </c>
      <c r="G233" s="6">
        <v>1</v>
      </c>
      <c r="H233" s="3">
        <v>2975</v>
      </c>
      <c r="I233" s="5">
        <v>0.15</v>
      </c>
      <c r="J233" s="4">
        <v>482.69</v>
      </c>
      <c r="K233" t="s">
        <v>28</v>
      </c>
      <c r="L233" t="s">
        <v>70</v>
      </c>
      <c r="M233" t="s">
        <v>71</v>
      </c>
      <c r="N233" t="s">
        <v>55</v>
      </c>
      <c r="O233" t="s">
        <v>23</v>
      </c>
    </row>
    <row r="234" spans="1:15" x14ac:dyDescent="0.3">
      <c r="A234" s="2" t="s">
        <v>662</v>
      </c>
      <c r="B234" s="2">
        <v>45799</v>
      </c>
      <c r="C234" t="s">
        <v>663</v>
      </c>
      <c r="D234" t="s">
        <v>68</v>
      </c>
      <c r="E234" t="s">
        <v>153</v>
      </c>
      <c r="F234" t="s">
        <v>153</v>
      </c>
      <c r="G234" s="6">
        <v>5</v>
      </c>
      <c r="H234" s="3">
        <v>5100</v>
      </c>
      <c r="I234" s="5">
        <v>0.15</v>
      </c>
      <c r="J234" s="4">
        <v>1046.8800000000001</v>
      </c>
      <c r="K234" t="s">
        <v>49</v>
      </c>
      <c r="L234" t="s">
        <v>134</v>
      </c>
      <c r="M234" t="s">
        <v>135</v>
      </c>
      <c r="N234" t="s">
        <v>55</v>
      </c>
      <c r="O234" t="s">
        <v>44</v>
      </c>
    </row>
    <row r="235" spans="1:15" x14ac:dyDescent="0.3">
      <c r="A235" s="2" t="s">
        <v>731</v>
      </c>
      <c r="B235" s="2">
        <v>45818</v>
      </c>
      <c r="C235" t="s">
        <v>155</v>
      </c>
      <c r="D235" t="s">
        <v>47</v>
      </c>
      <c r="E235" t="s">
        <v>240</v>
      </c>
      <c r="F235" t="s">
        <v>240</v>
      </c>
      <c r="G235" s="6">
        <v>5</v>
      </c>
      <c r="H235" s="3">
        <v>10500</v>
      </c>
      <c r="I235" s="5">
        <v>0.16</v>
      </c>
      <c r="J235" s="4">
        <v>1315</v>
      </c>
      <c r="K235" t="s">
        <v>52</v>
      </c>
      <c r="L235" t="s">
        <v>36</v>
      </c>
      <c r="M235" t="s">
        <v>128</v>
      </c>
      <c r="N235" t="s">
        <v>38</v>
      </c>
      <c r="O235" t="s">
        <v>23</v>
      </c>
    </row>
    <row r="236" spans="1:15" x14ac:dyDescent="0.3">
      <c r="A236" s="2" t="s">
        <v>283</v>
      </c>
      <c r="B236" s="2">
        <v>45700</v>
      </c>
      <c r="C236" t="s">
        <v>112</v>
      </c>
      <c r="D236" t="s">
        <v>26</v>
      </c>
      <c r="E236" t="s">
        <v>27</v>
      </c>
      <c r="F236" t="s">
        <v>27</v>
      </c>
      <c r="G236" s="6">
        <v>1</v>
      </c>
      <c r="H236" s="3">
        <v>1162</v>
      </c>
      <c r="I236" s="5">
        <v>0.17</v>
      </c>
      <c r="J236" s="4">
        <v>223.28</v>
      </c>
      <c r="K236" t="s">
        <v>75</v>
      </c>
      <c r="L236" t="s">
        <v>60</v>
      </c>
      <c r="M236" t="s">
        <v>61</v>
      </c>
      <c r="N236" t="s">
        <v>38</v>
      </c>
      <c r="O236" t="s">
        <v>44</v>
      </c>
    </row>
    <row r="237" spans="1:15" x14ac:dyDescent="0.3">
      <c r="A237" s="2" t="s">
        <v>45</v>
      </c>
      <c r="B237" s="2">
        <v>45662</v>
      </c>
      <c r="C237" t="s">
        <v>46</v>
      </c>
      <c r="D237" t="s">
        <v>47</v>
      </c>
      <c r="E237" t="s">
        <v>48</v>
      </c>
      <c r="F237" t="s">
        <v>48</v>
      </c>
      <c r="G237" s="6">
        <v>2</v>
      </c>
      <c r="H237" s="3">
        <v>43000</v>
      </c>
      <c r="I237" s="5">
        <v>0.14000000000000001</v>
      </c>
      <c r="J237" s="4">
        <v>5271.73</v>
      </c>
      <c r="K237" t="s">
        <v>49</v>
      </c>
      <c r="L237" t="s">
        <v>36</v>
      </c>
      <c r="M237" t="s">
        <v>37</v>
      </c>
      <c r="N237" t="s">
        <v>38</v>
      </c>
      <c r="O237" t="s">
        <v>23</v>
      </c>
    </row>
    <row r="238" spans="1:15" x14ac:dyDescent="0.3">
      <c r="A238" s="2" t="s">
        <v>444</v>
      </c>
      <c r="B238" s="2">
        <v>45733</v>
      </c>
      <c r="C238" t="s">
        <v>445</v>
      </c>
      <c r="D238" t="s">
        <v>26</v>
      </c>
      <c r="E238" t="s">
        <v>188</v>
      </c>
      <c r="F238" t="s">
        <v>188</v>
      </c>
      <c r="G238" s="6">
        <v>3</v>
      </c>
      <c r="H238" s="3">
        <v>7560</v>
      </c>
      <c r="I238" s="5">
        <v>0.16</v>
      </c>
      <c r="J238" s="4">
        <v>1055.57</v>
      </c>
      <c r="K238" t="s">
        <v>49</v>
      </c>
      <c r="L238" t="s">
        <v>36</v>
      </c>
      <c r="M238" t="s">
        <v>101</v>
      </c>
      <c r="N238" t="s">
        <v>38</v>
      </c>
      <c r="O238" t="s">
        <v>44</v>
      </c>
    </row>
    <row r="239" spans="1:15" x14ac:dyDescent="0.3">
      <c r="A239" s="2" t="s">
        <v>172</v>
      </c>
      <c r="B239" s="2">
        <v>45677</v>
      </c>
      <c r="C239" t="s">
        <v>84</v>
      </c>
      <c r="D239" t="s">
        <v>58</v>
      </c>
      <c r="E239" t="s">
        <v>59</v>
      </c>
      <c r="F239" t="s">
        <v>59</v>
      </c>
      <c r="G239" s="6">
        <v>2</v>
      </c>
      <c r="H239" s="3">
        <v>720</v>
      </c>
      <c r="I239" s="5">
        <v>0.2</v>
      </c>
      <c r="J239" s="4">
        <v>158.84</v>
      </c>
      <c r="K239" t="s">
        <v>28</v>
      </c>
      <c r="L239" t="s">
        <v>170</v>
      </c>
      <c r="M239" t="s">
        <v>171</v>
      </c>
      <c r="N239" t="s">
        <v>31</v>
      </c>
      <c r="O239" t="s">
        <v>23</v>
      </c>
    </row>
    <row r="240" spans="1:15" x14ac:dyDescent="0.3">
      <c r="A240" s="2" t="s">
        <v>749</v>
      </c>
      <c r="B240" s="2">
        <v>45825</v>
      </c>
      <c r="C240" t="s">
        <v>347</v>
      </c>
      <c r="D240" t="s">
        <v>58</v>
      </c>
      <c r="E240" t="s">
        <v>77</v>
      </c>
      <c r="F240" t="s">
        <v>77</v>
      </c>
      <c r="G240" s="6">
        <v>5</v>
      </c>
      <c r="H240" s="3">
        <v>7020</v>
      </c>
      <c r="I240" s="5">
        <v>0.22</v>
      </c>
      <c r="J240" s="4">
        <v>1688.13</v>
      </c>
      <c r="K240" t="s">
        <v>65</v>
      </c>
      <c r="L240" t="s">
        <v>36</v>
      </c>
      <c r="M240" t="s">
        <v>101</v>
      </c>
      <c r="N240" t="s">
        <v>38</v>
      </c>
      <c r="O240" t="s">
        <v>44</v>
      </c>
    </row>
    <row r="241" spans="1:15" x14ac:dyDescent="0.3">
      <c r="A241" s="2" t="s">
        <v>926</v>
      </c>
      <c r="B241" s="2">
        <v>45884</v>
      </c>
      <c r="C241" t="s">
        <v>278</v>
      </c>
      <c r="D241" t="s">
        <v>47</v>
      </c>
      <c r="E241" t="s">
        <v>82</v>
      </c>
      <c r="F241" t="s">
        <v>82</v>
      </c>
      <c r="G241" s="6">
        <v>3</v>
      </c>
      <c r="H241" s="3">
        <v>8610</v>
      </c>
      <c r="I241" s="5">
        <v>0.18</v>
      </c>
      <c r="J241" s="4">
        <v>1141.99</v>
      </c>
      <c r="K241" t="s">
        <v>49</v>
      </c>
      <c r="L241" t="s">
        <v>53</v>
      </c>
      <c r="M241" t="s">
        <v>54</v>
      </c>
      <c r="N241" t="s">
        <v>55</v>
      </c>
      <c r="O241" t="s">
        <v>44</v>
      </c>
    </row>
    <row r="242" spans="1:15" x14ac:dyDescent="0.3">
      <c r="A242" s="2" t="s">
        <v>1026</v>
      </c>
      <c r="B242" s="2">
        <v>45924</v>
      </c>
      <c r="C242" t="s">
        <v>301</v>
      </c>
      <c r="D242" t="s">
        <v>17</v>
      </c>
      <c r="E242" t="s">
        <v>148</v>
      </c>
      <c r="F242" t="s">
        <v>148</v>
      </c>
      <c r="G242" s="6">
        <v>5</v>
      </c>
      <c r="H242" s="3">
        <v>113400</v>
      </c>
      <c r="I242" s="5">
        <v>0.19</v>
      </c>
      <c r="J242" s="4">
        <v>9272</v>
      </c>
      <c r="K242" t="s">
        <v>65</v>
      </c>
      <c r="L242" t="s">
        <v>208</v>
      </c>
      <c r="M242" t="s">
        <v>209</v>
      </c>
      <c r="N242" t="s">
        <v>31</v>
      </c>
      <c r="O242" t="s">
        <v>23</v>
      </c>
    </row>
    <row r="243" spans="1:15" x14ac:dyDescent="0.3">
      <c r="A243" s="2" t="s">
        <v>313</v>
      </c>
      <c r="B243" s="2">
        <v>45704</v>
      </c>
      <c r="C243" t="s">
        <v>314</v>
      </c>
      <c r="D243" t="s">
        <v>34</v>
      </c>
      <c r="E243" t="s">
        <v>107</v>
      </c>
      <c r="F243" t="s">
        <v>107</v>
      </c>
      <c r="G243" s="6">
        <v>3</v>
      </c>
      <c r="H243" s="3">
        <v>12960</v>
      </c>
      <c r="I243" s="5">
        <v>0.04</v>
      </c>
      <c r="J243" s="4">
        <v>2029.33</v>
      </c>
      <c r="K243" t="s">
        <v>65</v>
      </c>
      <c r="L243" t="s">
        <v>60</v>
      </c>
      <c r="M243" t="s">
        <v>61</v>
      </c>
      <c r="N243" t="s">
        <v>38</v>
      </c>
      <c r="O243" t="s">
        <v>23</v>
      </c>
    </row>
    <row r="244" spans="1:15" x14ac:dyDescent="0.3">
      <c r="A244" s="2" t="s">
        <v>1302</v>
      </c>
      <c r="B244" s="2">
        <v>46022</v>
      </c>
      <c r="C244" t="s">
        <v>907</v>
      </c>
      <c r="D244" t="s">
        <v>47</v>
      </c>
      <c r="E244" t="s">
        <v>74</v>
      </c>
      <c r="F244" t="s">
        <v>74</v>
      </c>
      <c r="G244" s="6">
        <v>1</v>
      </c>
      <c r="H244" s="3">
        <v>16200</v>
      </c>
      <c r="I244" s="5">
        <v>0.1</v>
      </c>
      <c r="J244" s="4">
        <v>1262.31</v>
      </c>
      <c r="K244" t="s">
        <v>28</v>
      </c>
      <c r="L244" t="s">
        <v>36</v>
      </c>
      <c r="M244" t="s">
        <v>128</v>
      </c>
      <c r="N244" t="s">
        <v>38</v>
      </c>
      <c r="O244" t="s">
        <v>23</v>
      </c>
    </row>
    <row r="245" spans="1:15" x14ac:dyDescent="0.3">
      <c r="A245" s="2" t="s">
        <v>1017</v>
      </c>
      <c r="B245" s="2">
        <v>45917</v>
      </c>
      <c r="C245" t="s">
        <v>257</v>
      </c>
      <c r="D245" t="s">
        <v>95</v>
      </c>
      <c r="E245" t="s">
        <v>104</v>
      </c>
      <c r="F245" t="s">
        <v>104</v>
      </c>
      <c r="G245" s="6">
        <v>2</v>
      </c>
      <c r="H245" s="3">
        <v>5950</v>
      </c>
      <c r="I245" s="5">
        <v>0.15</v>
      </c>
      <c r="J245" s="4">
        <v>811.81</v>
      </c>
      <c r="K245" t="s">
        <v>52</v>
      </c>
      <c r="L245" t="s">
        <v>121</v>
      </c>
      <c r="M245" t="s">
        <v>122</v>
      </c>
      <c r="N245" t="s">
        <v>55</v>
      </c>
      <c r="O245" t="s">
        <v>23</v>
      </c>
    </row>
    <row r="246" spans="1:15" x14ac:dyDescent="0.3">
      <c r="A246" s="2" t="s">
        <v>1016</v>
      </c>
      <c r="B246" s="2">
        <v>45917</v>
      </c>
      <c r="C246" t="s">
        <v>247</v>
      </c>
      <c r="D246" t="s">
        <v>58</v>
      </c>
      <c r="E246" t="s">
        <v>77</v>
      </c>
      <c r="F246" t="s">
        <v>77</v>
      </c>
      <c r="G246" s="6">
        <v>2</v>
      </c>
      <c r="H246" s="3">
        <v>2988</v>
      </c>
      <c r="I246" s="5">
        <v>0.17</v>
      </c>
      <c r="J246" s="4">
        <v>510.02</v>
      </c>
      <c r="K246" t="s">
        <v>52</v>
      </c>
      <c r="L246" t="s">
        <v>36</v>
      </c>
      <c r="M246" t="s">
        <v>101</v>
      </c>
      <c r="N246" t="s">
        <v>38</v>
      </c>
      <c r="O246" t="s">
        <v>23</v>
      </c>
    </row>
    <row r="247" spans="1:15" x14ac:dyDescent="0.3">
      <c r="A247" s="2" t="s">
        <v>711</v>
      </c>
      <c r="B247" s="2">
        <v>45811</v>
      </c>
      <c r="C247" t="s">
        <v>443</v>
      </c>
      <c r="D247" t="s">
        <v>47</v>
      </c>
      <c r="E247" t="s">
        <v>224</v>
      </c>
      <c r="F247" t="s">
        <v>224</v>
      </c>
      <c r="G247" s="6">
        <v>1</v>
      </c>
      <c r="H247" s="3">
        <v>4300</v>
      </c>
      <c r="I247" s="5">
        <v>0.14000000000000001</v>
      </c>
      <c r="J247" s="4">
        <v>527.24</v>
      </c>
      <c r="K247" t="s">
        <v>19</v>
      </c>
      <c r="L247" t="s">
        <v>86</v>
      </c>
      <c r="M247" t="s">
        <v>87</v>
      </c>
      <c r="N247" t="s">
        <v>38</v>
      </c>
      <c r="O247" t="s">
        <v>23</v>
      </c>
    </row>
    <row r="248" spans="1:15" x14ac:dyDescent="0.3">
      <c r="A248" s="2" t="s">
        <v>372</v>
      </c>
      <c r="B248" s="2">
        <v>45717</v>
      </c>
      <c r="C248" t="s">
        <v>132</v>
      </c>
      <c r="D248" t="s">
        <v>17</v>
      </c>
      <c r="E248" t="s">
        <v>90</v>
      </c>
      <c r="F248" t="s">
        <v>90</v>
      </c>
      <c r="G248" s="6">
        <v>1</v>
      </c>
      <c r="H248" s="3">
        <v>4200</v>
      </c>
      <c r="I248" s="5">
        <v>0.16</v>
      </c>
      <c r="J248" s="4">
        <v>599.13</v>
      </c>
      <c r="K248" t="s">
        <v>19</v>
      </c>
      <c r="L248" t="s">
        <v>36</v>
      </c>
      <c r="M248" t="s">
        <v>37</v>
      </c>
      <c r="N248" t="s">
        <v>38</v>
      </c>
      <c r="O248" t="s">
        <v>44</v>
      </c>
    </row>
    <row r="249" spans="1:15" x14ac:dyDescent="0.3">
      <c r="A249" s="2" t="s">
        <v>1053</v>
      </c>
      <c r="B249" s="2">
        <v>45934</v>
      </c>
      <c r="C249" t="s">
        <v>562</v>
      </c>
      <c r="D249" t="s">
        <v>58</v>
      </c>
      <c r="E249" t="s">
        <v>77</v>
      </c>
      <c r="F249" t="s">
        <v>77</v>
      </c>
      <c r="G249" s="6">
        <v>3</v>
      </c>
      <c r="H249" s="3">
        <v>4482</v>
      </c>
      <c r="I249" s="5">
        <v>0.17</v>
      </c>
      <c r="J249" s="4">
        <v>800.14</v>
      </c>
      <c r="K249" t="s">
        <v>65</v>
      </c>
      <c r="L249" t="s">
        <v>36</v>
      </c>
      <c r="M249" t="s">
        <v>101</v>
      </c>
      <c r="N249" t="s">
        <v>38</v>
      </c>
      <c r="O249" t="s">
        <v>23</v>
      </c>
    </row>
    <row r="250" spans="1:15" x14ac:dyDescent="0.3">
      <c r="A250" s="2" t="s">
        <v>1231</v>
      </c>
      <c r="B250" s="2">
        <v>45995</v>
      </c>
      <c r="C250" t="s">
        <v>380</v>
      </c>
      <c r="D250" t="s">
        <v>17</v>
      </c>
      <c r="E250" t="s">
        <v>90</v>
      </c>
      <c r="F250" t="s">
        <v>90</v>
      </c>
      <c r="G250" s="6">
        <v>4</v>
      </c>
      <c r="H250" s="3">
        <v>15200</v>
      </c>
      <c r="I250" s="5">
        <v>0.24</v>
      </c>
      <c r="J250" s="4">
        <v>1055.29</v>
      </c>
      <c r="K250" t="s">
        <v>28</v>
      </c>
      <c r="L250" t="s">
        <v>134</v>
      </c>
      <c r="M250" t="s">
        <v>135</v>
      </c>
      <c r="N250" t="s">
        <v>55</v>
      </c>
      <c r="O250" t="s">
        <v>23</v>
      </c>
    </row>
    <row r="251" spans="1:15" x14ac:dyDescent="0.3">
      <c r="A251" s="2" t="s">
        <v>1094</v>
      </c>
      <c r="B251" s="2">
        <v>45946</v>
      </c>
      <c r="C251" t="s">
        <v>337</v>
      </c>
      <c r="D251" t="s">
        <v>34</v>
      </c>
      <c r="E251" t="s">
        <v>35</v>
      </c>
      <c r="F251" t="s">
        <v>35</v>
      </c>
      <c r="G251" s="6">
        <v>1</v>
      </c>
      <c r="H251" s="3">
        <v>936</v>
      </c>
      <c r="I251" s="5">
        <v>0.22</v>
      </c>
      <c r="J251" s="4">
        <v>132.88</v>
      </c>
      <c r="K251" t="s">
        <v>19</v>
      </c>
      <c r="L251" t="s">
        <v>70</v>
      </c>
      <c r="M251" t="s">
        <v>71</v>
      </c>
      <c r="N251" t="s">
        <v>55</v>
      </c>
      <c r="O251" t="s">
        <v>44</v>
      </c>
    </row>
    <row r="252" spans="1:15" x14ac:dyDescent="0.3">
      <c r="A252" s="2" t="s">
        <v>984</v>
      </c>
      <c r="B252" s="2">
        <v>45904</v>
      </c>
      <c r="C252" t="s">
        <v>266</v>
      </c>
      <c r="D252" t="s">
        <v>26</v>
      </c>
      <c r="E252" t="s">
        <v>118</v>
      </c>
      <c r="F252" t="s">
        <v>118</v>
      </c>
      <c r="G252" s="6">
        <v>1</v>
      </c>
      <c r="H252" s="3">
        <v>1476</v>
      </c>
      <c r="I252" s="5">
        <v>0.18</v>
      </c>
      <c r="J252" s="4">
        <v>337.23</v>
      </c>
      <c r="K252" t="s">
        <v>28</v>
      </c>
      <c r="L252" t="s">
        <v>60</v>
      </c>
      <c r="M252" t="s">
        <v>61</v>
      </c>
      <c r="N252" t="s">
        <v>38</v>
      </c>
      <c r="O252" t="s">
        <v>44</v>
      </c>
    </row>
    <row r="253" spans="1:15" x14ac:dyDescent="0.3">
      <c r="A253" s="2" t="s">
        <v>665</v>
      </c>
      <c r="B253" s="2">
        <v>45799</v>
      </c>
      <c r="C253" t="s">
        <v>500</v>
      </c>
      <c r="D253" t="s">
        <v>68</v>
      </c>
      <c r="E253" t="s">
        <v>69</v>
      </c>
      <c r="F253" t="s">
        <v>69</v>
      </c>
      <c r="G253" s="6">
        <v>1</v>
      </c>
      <c r="H253" s="3">
        <v>365</v>
      </c>
      <c r="I253" s="5">
        <v>0.27</v>
      </c>
      <c r="J253" s="4">
        <v>79.09</v>
      </c>
      <c r="K253" t="s">
        <v>75</v>
      </c>
      <c r="L253" t="s">
        <v>20</v>
      </c>
      <c r="M253" t="s">
        <v>21</v>
      </c>
      <c r="N253" t="s">
        <v>22</v>
      </c>
      <c r="O253" t="s">
        <v>44</v>
      </c>
    </row>
    <row r="254" spans="1:15" x14ac:dyDescent="0.3">
      <c r="A254" s="2" t="s">
        <v>994</v>
      </c>
      <c r="B254" s="2">
        <v>45908</v>
      </c>
      <c r="C254" t="s">
        <v>142</v>
      </c>
      <c r="D254" t="s">
        <v>58</v>
      </c>
      <c r="E254" t="s">
        <v>178</v>
      </c>
      <c r="F254" t="s">
        <v>178</v>
      </c>
      <c r="G254" s="6">
        <v>3</v>
      </c>
      <c r="H254" s="3">
        <v>1618.5</v>
      </c>
      <c r="I254" s="5">
        <v>0.17</v>
      </c>
      <c r="J254" s="4">
        <v>229.07</v>
      </c>
      <c r="K254" t="s">
        <v>19</v>
      </c>
      <c r="L254" t="s">
        <v>78</v>
      </c>
      <c r="M254" t="s">
        <v>79</v>
      </c>
      <c r="N254" t="s">
        <v>22</v>
      </c>
      <c r="O254" t="s">
        <v>23</v>
      </c>
    </row>
    <row r="255" spans="1:15" x14ac:dyDescent="0.3">
      <c r="A255" s="2" t="s">
        <v>675</v>
      </c>
      <c r="B255" s="2">
        <v>45804</v>
      </c>
      <c r="C255" t="s">
        <v>218</v>
      </c>
      <c r="D255" t="s">
        <v>95</v>
      </c>
      <c r="E255" t="s">
        <v>104</v>
      </c>
      <c r="F255" t="s">
        <v>104</v>
      </c>
      <c r="G255" s="6">
        <v>2</v>
      </c>
      <c r="H255" s="3">
        <v>6020</v>
      </c>
      <c r="I255" s="5">
        <v>0.14000000000000001</v>
      </c>
      <c r="J255" s="4">
        <v>857.4</v>
      </c>
      <c r="K255" t="s">
        <v>75</v>
      </c>
      <c r="L255" t="s">
        <v>78</v>
      </c>
      <c r="M255" t="s">
        <v>79</v>
      </c>
      <c r="N255" t="s">
        <v>22</v>
      </c>
      <c r="O255" t="s">
        <v>44</v>
      </c>
    </row>
    <row r="256" spans="1:15" x14ac:dyDescent="0.3">
      <c r="A256" s="2" t="s">
        <v>1046</v>
      </c>
      <c r="B256" s="2">
        <v>45932</v>
      </c>
      <c r="C256" t="s">
        <v>255</v>
      </c>
      <c r="D256" t="s">
        <v>17</v>
      </c>
      <c r="E256" t="s">
        <v>85</v>
      </c>
      <c r="F256" t="s">
        <v>85</v>
      </c>
      <c r="G256" s="6">
        <v>2</v>
      </c>
      <c r="H256" s="3">
        <v>12300</v>
      </c>
      <c r="I256" s="5">
        <v>0.18</v>
      </c>
      <c r="J256" s="4">
        <v>1646.45</v>
      </c>
      <c r="K256" t="s">
        <v>49</v>
      </c>
      <c r="L256" t="s">
        <v>208</v>
      </c>
      <c r="M256" t="s">
        <v>209</v>
      </c>
      <c r="N256" t="s">
        <v>31</v>
      </c>
      <c r="O256" t="s">
        <v>23</v>
      </c>
    </row>
    <row r="257" spans="1:15" x14ac:dyDescent="0.3">
      <c r="A257" s="2" t="s">
        <v>591</v>
      </c>
      <c r="B257" s="2">
        <v>45777</v>
      </c>
      <c r="C257" t="s">
        <v>402</v>
      </c>
      <c r="D257" t="s">
        <v>68</v>
      </c>
      <c r="E257" t="s">
        <v>69</v>
      </c>
      <c r="F257" t="s">
        <v>69</v>
      </c>
      <c r="G257" s="6">
        <v>3</v>
      </c>
      <c r="H257" s="3">
        <v>1230</v>
      </c>
      <c r="I257" s="5">
        <v>0.18</v>
      </c>
      <c r="J257" s="4">
        <v>262.25</v>
      </c>
      <c r="K257" t="s">
        <v>49</v>
      </c>
      <c r="L257" t="s">
        <v>78</v>
      </c>
      <c r="M257" t="s">
        <v>79</v>
      </c>
      <c r="N257" t="s">
        <v>22</v>
      </c>
      <c r="O257" t="s">
        <v>23</v>
      </c>
    </row>
    <row r="258" spans="1:15" x14ac:dyDescent="0.3">
      <c r="A258" s="2" t="s">
        <v>1217</v>
      </c>
      <c r="B258" s="2">
        <v>45991</v>
      </c>
      <c r="C258" t="s">
        <v>378</v>
      </c>
      <c r="D258" t="s">
        <v>95</v>
      </c>
      <c r="E258" t="s">
        <v>104</v>
      </c>
      <c r="F258" t="s">
        <v>104</v>
      </c>
      <c r="G258" s="6">
        <v>4</v>
      </c>
      <c r="H258" s="3">
        <v>11900</v>
      </c>
      <c r="I258" s="5">
        <v>0.15</v>
      </c>
      <c r="J258" s="4">
        <v>2052.4899999999998</v>
      </c>
      <c r="K258" t="s">
        <v>19</v>
      </c>
      <c r="L258" t="s">
        <v>78</v>
      </c>
      <c r="M258" t="s">
        <v>79</v>
      </c>
      <c r="N258" t="s">
        <v>22</v>
      </c>
      <c r="O258" t="s">
        <v>44</v>
      </c>
    </row>
    <row r="259" spans="1:15" x14ac:dyDescent="0.3">
      <c r="A259" s="2" t="s">
        <v>727</v>
      </c>
      <c r="B259" s="2">
        <v>45815</v>
      </c>
      <c r="C259" t="s">
        <v>263</v>
      </c>
      <c r="D259" t="s">
        <v>17</v>
      </c>
      <c r="E259" t="s">
        <v>148</v>
      </c>
      <c r="F259" t="s">
        <v>148</v>
      </c>
      <c r="G259" s="6">
        <v>1</v>
      </c>
      <c r="H259" s="3">
        <v>21560</v>
      </c>
      <c r="I259" s="5">
        <v>0.23</v>
      </c>
      <c r="J259" s="4">
        <v>1787.04</v>
      </c>
      <c r="K259" t="s">
        <v>65</v>
      </c>
      <c r="L259" t="s">
        <v>149</v>
      </c>
      <c r="M259" t="s">
        <v>175</v>
      </c>
      <c r="N259" t="s">
        <v>38</v>
      </c>
      <c r="O259" t="s">
        <v>23</v>
      </c>
    </row>
    <row r="260" spans="1:15" x14ac:dyDescent="0.3">
      <c r="A260" s="2" t="s">
        <v>843</v>
      </c>
      <c r="B260" s="2">
        <v>45858</v>
      </c>
      <c r="C260" t="s">
        <v>152</v>
      </c>
      <c r="D260" t="s">
        <v>17</v>
      </c>
      <c r="E260" t="s">
        <v>85</v>
      </c>
      <c r="F260" t="s">
        <v>85</v>
      </c>
      <c r="G260" s="6">
        <v>2</v>
      </c>
      <c r="H260" s="3">
        <v>12600</v>
      </c>
      <c r="I260" s="5">
        <v>0.16</v>
      </c>
      <c r="J260" s="4">
        <v>1713.93</v>
      </c>
      <c r="K260" t="s">
        <v>19</v>
      </c>
      <c r="L260" t="s">
        <v>42</v>
      </c>
      <c r="M260" t="s">
        <v>43</v>
      </c>
      <c r="N260" t="s">
        <v>22</v>
      </c>
      <c r="O260" t="s">
        <v>44</v>
      </c>
    </row>
    <row r="261" spans="1:15" x14ac:dyDescent="0.3">
      <c r="A261" s="2" t="s">
        <v>1141</v>
      </c>
      <c r="B261" s="2">
        <v>45965</v>
      </c>
      <c r="C261" t="s">
        <v>486</v>
      </c>
      <c r="D261" t="s">
        <v>58</v>
      </c>
      <c r="E261" t="s">
        <v>138</v>
      </c>
      <c r="F261" t="s">
        <v>138</v>
      </c>
      <c r="G261" s="6">
        <v>2</v>
      </c>
      <c r="H261" s="3">
        <v>3476</v>
      </c>
      <c r="I261" s="5">
        <v>0.21</v>
      </c>
      <c r="J261" s="4">
        <v>670.43</v>
      </c>
      <c r="K261" t="s">
        <v>52</v>
      </c>
      <c r="L261" t="s">
        <v>86</v>
      </c>
      <c r="M261" t="s">
        <v>87</v>
      </c>
      <c r="N261" t="s">
        <v>38</v>
      </c>
      <c r="O261" t="s">
        <v>23</v>
      </c>
    </row>
    <row r="262" spans="1:15" x14ac:dyDescent="0.3">
      <c r="A262" s="2" t="s">
        <v>1149</v>
      </c>
      <c r="B262" s="2">
        <v>45968</v>
      </c>
      <c r="C262" t="s">
        <v>402</v>
      </c>
      <c r="D262" t="s">
        <v>47</v>
      </c>
      <c r="E262" t="s">
        <v>368</v>
      </c>
      <c r="F262" t="s">
        <v>368</v>
      </c>
      <c r="G262" s="6">
        <v>2</v>
      </c>
      <c r="H262" s="3">
        <v>3060</v>
      </c>
      <c r="I262" s="5">
        <v>0.15</v>
      </c>
      <c r="J262" s="4">
        <v>213.99</v>
      </c>
      <c r="K262" t="s">
        <v>75</v>
      </c>
      <c r="L262" t="s">
        <v>42</v>
      </c>
      <c r="M262" t="s">
        <v>43</v>
      </c>
      <c r="N262" t="s">
        <v>22</v>
      </c>
      <c r="O262" t="s">
        <v>23</v>
      </c>
    </row>
    <row r="263" spans="1:15" x14ac:dyDescent="0.3">
      <c r="A263" s="2" t="s">
        <v>418</v>
      </c>
      <c r="B263" s="2">
        <v>45729</v>
      </c>
      <c r="C263" t="s">
        <v>419</v>
      </c>
      <c r="D263" t="s">
        <v>26</v>
      </c>
      <c r="E263" t="s">
        <v>118</v>
      </c>
      <c r="F263" t="s">
        <v>118</v>
      </c>
      <c r="G263" s="6">
        <v>2</v>
      </c>
      <c r="H263" s="3">
        <v>2952</v>
      </c>
      <c r="I263" s="5">
        <v>0.18</v>
      </c>
      <c r="J263" s="4">
        <v>517.75</v>
      </c>
      <c r="K263" t="s">
        <v>28</v>
      </c>
      <c r="L263" t="s">
        <v>134</v>
      </c>
      <c r="M263" t="s">
        <v>135</v>
      </c>
      <c r="N263" t="s">
        <v>55</v>
      </c>
      <c r="O263" t="s">
        <v>23</v>
      </c>
    </row>
    <row r="264" spans="1:15" x14ac:dyDescent="0.3">
      <c r="A264" s="2" t="s">
        <v>1071</v>
      </c>
      <c r="B264" s="2">
        <v>45940</v>
      </c>
      <c r="C264" t="s">
        <v>795</v>
      </c>
      <c r="D264" t="s">
        <v>47</v>
      </c>
      <c r="E264" t="s">
        <v>214</v>
      </c>
      <c r="F264" t="s">
        <v>214</v>
      </c>
      <c r="G264" s="6">
        <v>1</v>
      </c>
      <c r="H264" s="3">
        <v>774</v>
      </c>
      <c r="I264" s="5">
        <v>0.14000000000000001</v>
      </c>
      <c r="J264" s="4">
        <v>76.09</v>
      </c>
      <c r="K264" t="s">
        <v>19</v>
      </c>
      <c r="L264" t="s">
        <v>170</v>
      </c>
      <c r="M264" t="s">
        <v>171</v>
      </c>
      <c r="N264" t="s">
        <v>31</v>
      </c>
      <c r="O264" t="s">
        <v>44</v>
      </c>
    </row>
    <row r="265" spans="1:15" x14ac:dyDescent="0.3">
      <c r="A265" s="2" t="s">
        <v>1152</v>
      </c>
      <c r="B265" s="2">
        <v>45969</v>
      </c>
      <c r="C265" t="s">
        <v>226</v>
      </c>
      <c r="D265" t="s">
        <v>17</v>
      </c>
      <c r="E265" t="s">
        <v>158</v>
      </c>
      <c r="F265" t="s">
        <v>158</v>
      </c>
      <c r="G265" s="6">
        <v>2</v>
      </c>
      <c r="H265" s="3">
        <v>35640</v>
      </c>
      <c r="I265" s="5">
        <v>0.19</v>
      </c>
      <c r="J265" s="4">
        <v>4177.66</v>
      </c>
      <c r="K265" t="s">
        <v>75</v>
      </c>
      <c r="L265" t="s">
        <v>36</v>
      </c>
      <c r="M265" t="s">
        <v>128</v>
      </c>
      <c r="N265" t="s">
        <v>38</v>
      </c>
      <c r="O265" t="s">
        <v>23</v>
      </c>
    </row>
    <row r="266" spans="1:15" x14ac:dyDescent="0.3">
      <c r="A266" s="2" t="s">
        <v>1293</v>
      </c>
      <c r="B266" s="2">
        <v>46020</v>
      </c>
      <c r="C266" t="s">
        <v>724</v>
      </c>
      <c r="D266" t="s">
        <v>17</v>
      </c>
      <c r="E266" t="s">
        <v>85</v>
      </c>
      <c r="F266" t="s">
        <v>85</v>
      </c>
      <c r="G266" s="6">
        <v>3</v>
      </c>
      <c r="H266" s="3">
        <v>18225</v>
      </c>
      <c r="I266" s="5">
        <v>0.19</v>
      </c>
      <c r="J266" s="4">
        <v>2026.63</v>
      </c>
      <c r="K266" t="s">
        <v>49</v>
      </c>
      <c r="L266" t="s">
        <v>159</v>
      </c>
      <c r="M266" t="s">
        <v>160</v>
      </c>
      <c r="N266" t="s">
        <v>38</v>
      </c>
      <c r="O266" t="s">
        <v>44</v>
      </c>
    </row>
    <row r="267" spans="1:15" x14ac:dyDescent="0.3">
      <c r="A267" s="2" t="s">
        <v>1216</v>
      </c>
      <c r="B267" s="2">
        <v>45990</v>
      </c>
      <c r="C267" t="s">
        <v>907</v>
      </c>
      <c r="D267" t="s">
        <v>47</v>
      </c>
      <c r="E267" t="s">
        <v>194</v>
      </c>
      <c r="F267" t="s">
        <v>194</v>
      </c>
      <c r="G267" s="6">
        <v>3</v>
      </c>
      <c r="H267" s="3">
        <v>158400</v>
      </c>
      <c r="I267" s="5">
        <v>0.04</v>
      </c>
      <c r="J267" s="4">
        <v>12734.82</v>
      </c>
      <c r="K267" t="s">
        <v>28</v>
      </c>
      <c r="L267" t="s">
        <v>170</v>
      </c>
      <c r="M267" t="s">
        <v>171</v>
      </c>
      <c r="N267" t="s">
        <v>31</v>
      </c>
      <c r="O267" t="s">
        <v>23</v>
      </c>
    </row>
    <row r="268" spans="1:15" x14ac:dyDescent="0.3">
      <c r="A268" s="2" t="s">
        <v>1125</v>
      </c>
      <c r="B268" s="2">
        <v>45958</v>
      </c>
      <c r="C268" t="s">
        <v>481</v>
      </c>
      <c r="D268" t="s">
        <v>58</v>
      </c>
      <c r="E268" t="s">
        <v>59</v>
      </c>
      <c r="F268" t="s">
        <v>59</v>
      </c>
      <c r="G268" s="6">
        <v>3</v>
      </c>
      <c r="H268" s="3">
        <v>1039.5</v>
      </c>
      <c r="I268" s="5">
        <v>0.23</v>
      </c>
      <c r="J268" s="4">
        <v>201.02</v>
      </c>
      <c r="K268" t="s">
        <v>65</v>
      </c>
      <c r="L268" t="s">
        <v>134</v>
      </c>
      <c r="M268" t="s">
        <v>135</v>
      </c>
      <c r="N268" t="s">
        <v>55</v>
      </c>
      <c r="O268" t="s">
        <v>23</v>
      </c>
    </row>
    <row r="269" spans="1:15" x14ac:dyDescent="0.3">
      <c r="A269" s="2" t="s">
        <v>1183</v>
      </c>
      <c r="B269" s="2">
        <v>45981</v>
      </c>
      <c r="C269" t="s">
        <v>661</v>
      </c>
      <c r="D269" t="s">
        <v>95</v>
      </c>
      <c r="E269" t="s">
        <v>104</v>
      </c>
      <c r="F269" t="s">
        <v>104</v>
      </c>
      <c r="G269" s="6">
        <v>1</v>
      </c>
      <c r="H269" s="3">
        <v>3290</v>
      </c>
      <c r="I269" s="5">
        <v>0.06</v>
      </c>
      <c r="J269" s="4">
        <v>434.35</v>
      </c>
      <c r="K269" t="s">
        <v>65</v>
      </c>
      <c r="L269" t="s">
        <v>159</v>
      </c>
      <c r="M269" t="s">
        <v>160</v>
      </c>
      <c r="N269" t="s">
        <v>38</v>
      </c>
      <c r="O269" t="s">
        <v>23</v>
      </c>
    </row>
    <row r="270" spans="1:15" x14ac:dyDescent="0.3">
      <c r="A270" s="2" t="s">
        <v>1206</v>
      </c>
      <c r="B270" s="2">
        <v>45989</v>
      </c>
      <c r="C270" t="s">
        <v>441</v>
      </c>
      <c r="D270" t="s">
        <v>34</v>
      </c>
      <c r="E270" t="s">
        <v>107</v>
      </c>
      <c r="F270" t="s">
        <v>107</v>
      </c>
      <c r="G270" s="6">
        <v>4</v>
      </c>
      <c r="H270" s="3">
        <v>15300</v>
      </c>
      <c r="I270" s="5">
        <v>0.15</v>
      </c>
      <c r="J270" s="4">
        <v>2158.04</v>
      </c>
      <c r="K270" t="s">
        <v>75</v>
      </c>
      <c r="L270" t="s">
        <v>208</v>
      </c>
      <c r="M270" t="s">
        <v>209</v>
      </c>
      <c r="N270" t="s">
        <v>31</v>
      </c>
      <c r="O270" t="s">
        <v>23</v>
      </c>
    </row>
    <row r="271" spans="1:15" x14ac:dyDescent="0.3">
      <c r="A271" s="2" t="s">
        <v>868</v>
      </c>
      <c r="B271" s="2">
        <v>45867</v>
      </c>
      <c r="C271" t="s">
        <v>486</v>
      </c>
      <c r="D271" t="s">
        <v>17</v>
      </c>
      <c r="E271" t="s">
        <v>85</v>
      </c>
      <c r="F271" t="s">
        <v>85</v>
      </c>
      <c r="G271" s="6">
        <v>4</v>
      </c>
      <c r="H271" s="3">
        <v>24900</v>
      </c>
      <c r="I271" s="5">
        <v>0.17</v>
      </c>
      <c r="J271" s="4">
        <v>3039.45</v>
      </c>
      <c r="K271" t="s">
        <v>49</v>
      </c>
      <c r="L271" t="s">
        <v>60</v>
      </c>
      <c r="M271" t="s">
        <v>61</v>
      </c>
      <c r="N271" t="s">
        <v>38</v>
      </c>
      <c r="O271" t="s">
        <v>23</v>
      </c>
    </row>
    <row r="272" spans="1:15" x14ac:dyDescent="0.3">
      <c r="A272" s="2" t="s">
        <v>1264</v>
      </c>
      <c r="B272" s="2">
        <v>46007</v>
      </c>
      <c r="C272" t="s">
        <v>233</v>
      </c>
      <c r="D272" t="s">
        <v>47</v>
      </c>
      <c r="E272" t="s">
        <v>48</v>
      </c>
      <c r="F272" t="s">
        <v>48</v>
      </c>
      <c r="G272" s="6">
        <v>1</v>
      </c>
      <c r="H272" s="3">
        <v>21750</v>
      </c>
      <c r="I272" s="5">
        <v>0.13</v>
      </c>
      <c r="J272" s="4">
        <v>3208.63</v>
      </c>
      <c r="K272" t="s">
        <v>52</v>
      </c>
      <c r="L272" t="s">
        <v>97</v>
      </c>
      <c r="M272" t="s">
        <v>98</v>
      </c>
      <c r="N272" t="s">
        <v>31</v>
      </c>
      <c r="O272" t="s">
        <v>23</v>
      </c>
    </row>
    <row r="273" spans="1:15" x14ac:dyDescent="0.3">
      <c r="A273" s="2" t="s">
        <v>1278</v>
      </c>
      <c r="B273" s="2">
        <v>46014</v>
      </c>
      <c r="C273" t="s">
        <v>1279</v>
      </c>
      <c r="D273" t="s">
        <v>26</v>
      </c>
      <c r="E273" t="s">
        <v>64</v>
      </c>
      <c r="F273" t="s">
        <v>64</v>
      </c>
      <c r="G273" s="6">
        <v>1</v>
      </c>
      <c r="H273" s="3">
        <v>711</v>
      </c>
      <c r="I273" s="5">
        <v>0.21</v>
      </c>
      <c r="J273" s="4">
        <v>115.8</v>
      </c>
      <c r="K273" t="s">
        <v>65</v>
      </c>
      <c r="L273" t="s">
        <v>60</v>
      </c>
      <c r="M273" t="s">
        <v>61</v>
      </c>
      <c r="N273" t="s">
        <v>38</v>
      </c>
      <c r="O273" t="s">
        <v>23</v>
      </c>
    </row>
    <row r="274" spans="1:15" x14ac:dyDescent="0.3">
      <c r="A274" s="2" t="s">
        <v>525</v>
      </c>
      <c r="B274" s="2">
        <v>45756</v>
      </c>
      <c r="C274" t="s">
        <v>526</v>
      </c>
      <c r="D274" t="s">
        <v>17</v>
      </c>
      <c r="E274" t="s">
        <v>85</v>
      </c>
      <c r="F274" t="s">
        <v>85</v>
      </c>
      <c r="G274" s="6">
        <v>2</v>
      </c>
      <c r="H274" s="3">
        <v>12150</v>
      </c>
      <c r="I274" s="5">
        <v>0.19</v>
      </c>
      <c r="J274" s="4">
        <v>1898.8</v>
      </c>
      <c r="K274" t="s">
        <v>75</v>
      </c>
      <c r="L274" t="s">
        <v>42</v>
      </c>
      <c r="M274" t="s">
        <v>43</v>
      </c>
      <c r="N274" t="s">
        <v>22</v>
      </c>
      <c r="O274" t="s">
        <v>44</v>
      </c>
    </row>
    <row r="275" spans="1:15" x14ac:dyDescent="0.3">
      <c r="A275" s="2" t="s">
        <v>377</v>
      </c>
      <c r="B275" s="2">
        <v>45720</v>
      </c>
      <c r="C275" t="s">
        <v>378</v>
      </c>
      <c r="D275" t="s">
        <v>26</v>
      </c>
      <c r="E275" t="s">
        <v>118</v>
      </c>
      <c r="F275" t="s">
        <v>118</v>
      </c>
      <c r="G275" s="6">
        <v>3</v>
      </c>
      <c r="H275" s="3">
        <v>4482</v>
      </c>
      <c r="I275" s="5">
        <v>0.17</v>
      </c>
      <c r="J275" s="4">
        <v>798.37</v>
      </c>
      <c r="K275" t="s">
        <v>75</v>
      </c>
      <c r="L275" t="s">
        <v>36</v>
      </c>
      <c r="M275" t="s">
        <v>128</v>
      </c>
      <c r="N275" t="s">
        <v>38</v>
      </c>
      <c r="O275" t="s">
        <v>23</v>
      </c>
    </row>
    <row r="276" spans="1:15" x14ac:dyDescent="0.3">
      <c r="A276" s="2" t="s">
        <v>826</v>
      </c>
      <c r="B276" s="2">
        <v>45853</v>
      </c>
      <c r="C276" t="s">
        <v>726</v>
      </c>
      <c r="D276" t="s">
        <v>68</v>
      </c>
      <c r="E276" t="s">
        <v>153</v>
      </c>
      <c r="F276" t="s">
        <v>153</v>
      </c>
      <c r="G276" s="6">
        <v>3</v>
      </c>
      <c r="H276" s="3">
        <v>2916</v>
      </c>
      <c r="I276" s="5">
        <v>0.19</v>
      </c>
      <c r="J276" s="4">
        <v>399.79</v>
      </c>
      <c r="K276" t="s">
        <v>65</v>
      </c>
      <c r="L276" t="s">
        <v>53</v>
      </c>
      <c r="M276" t="s">
        <v>54</v>
      </c>
      <c r="N276" t="s">
        <v>55</v>
      </c>
      <c r="O276" t="s">
        <v>44</v>
      </c>
    </row>
    <row r="277" spans="1:15" x14ac:dyDescent="0.3">
      <c r="A277" s="2" t="s">
        <v>1103</v>
      </c>
      <c r="B277" s="2">
        <v>45951</v>
      </c>
      <c r="C277" t="s">
        <v>89</v>
      </c>
      <c r="D277" t="s">
        <v>47</v>
      </c>
      <c r="E277" t="s">
        <v>224</v>
      </c>
      <c r="F277" t="s">
        <v>224</v>
      </c>
      <c r="G277" s="6">
        <v>3</v>
      </c>
      <c r="H277" s="3">
        <v>13650</v>
      </c>
      <c r="I277" s="5">
        <v>0.09</v>
      </c>
      <c r="J277" s="4">
        <v>1572.32</v>
      </c>
      <c r="K277" t="s">
        <v>19</v>
      </c>
      <c r="L277" t="s">
        <v>42</v>
      </c>
      <c r="M277" t="s">
        <v>43</v>
      </c>
      <c r="N277" t="s">
        <v>22</v>
      </c>
      <c r="O277" t="s">
        <v>44</v>
      </c>
    </row>
    <row r="278" spans="1:15" x14ac:dyDescent="0.3">
      <c r="A278" s="2" t="s">
        <v>1300</v>
      </c>
      <c r="B278" s="2">
        <v>46022</v>
      </c>
      <c r="C278" t="s">
        <v>667</v>
      </c>
      <c r="D278" t="s">
        <v>47</v>
      </c>
      <c r="E278" t="s">
        <v>224</v>
      </c>
      <c r="F278" t="s">
        <v>224</v>
      </c>
      <c r="G278" s="6">
        <v>3</v>
      </c>
      <c r="H278" s="3">
        <v>13050</v>
      </c>
      <c r="I278" s="5">
        <v>0.13</v>
      </c>
      <c r="J278" s="4">
        <v>1832.93</v>
      </c>
      <c r="K278" t="s">
        <v>65</v>
      </c>
      <c r="L278" t="s">
        <v>20</v>
      </c>
      <c r="M278" t="s">
        <v>21</v>
      </c>
      <c r="N278" t="s">
        <v>22</v>
      </c>
      <c r="O278" t="s">
        <v>23</v>
      </c>
    </row>
    <row r="279" spans="1:15" x14ac:dyDescent="0.3">
      <c r="A279" s="2" t="s">
        <v>1292</v>
      </c>
      <c r="B279" s="2">
        <v>46020</v>
      </c>
      <c r="C279" t="s">
        <v>400</v>
      </c>
      <c r="D279" t="s">
        <v>58</v>
      </c>
      <c r="E279" t="s">
        <v>178</v>
      </c>
      <c r="F279" t="s">
        <v>178</v>
      </c>
      <c r="G279" s="6">
        <v>5</v>
      </c>
      <c r="H279" s="3">
        <v>2860</v>
      </c>
      <c r="I279" s="5">
        <v>0.12</v>
      </c>
      <c r="J279" s="4">
        <v>421.87</v>
      </c>
      <c r="K279" t="s">
        <v>28</v>
      </c>
      <c r="L279" t="s">
        <v>70</v>
      </c>
      <c r="M279" t="s">
        <v>71</v>
      </c>
      <c r="N279" t="s">
        <v>55</v>
      </c>
      <c r="O279" t="s">
        <v>23</v>
      </c>
    </row>
    <row r="280" spans="1:15" x14ac:dyDescent="0.3">
      <c r="A280" s="2" t="s">
        <v>601</v>
      </c>
      <c r="B280" s="2">
        <v>45782</v>
      </c>
      <c r="C280" t="s">
        <v>261</v>
      </c>
      <c r="D280" t="s">
        <v>68</v>
      </c>
      <c r="E280" t="s">
        <v>153</v>
      </c>
      <c r="F280" t="s">
        <v>153</v>
      </c>
      <c r="G280" s="6">
        <v>5</v>
      </c>
      <c r="H280" s="3">
        <v>5040</v>
      </c>
      <c r="I280" s="5">
        <v>0.16</v>
      </c>
      <c r="J280" s="4">
        <v>669.47</v>
      </c>
      <c r="K280" t="s">
        <v>65</v>
      </c>
      <c r="L280" t="s">
        <v>60</v>
      </c>
      <c r="M280" t="s">
        <v>61</v>
      </c>
      <c r="N280" t="s">
        <v>38</v>
      </c>
      <c r="O280" t="s">
        <v>23</v>
      </c>
    </row>
    <row r="281" spans="1:15" x14ac:dyDescent="0.3">
      <c r="A281" s="2" t="s">
        <v>1077</v>
      </c>
      <c r="B281" s="2">
        <v>45942</v>
      </c>
      <c r="C281" t="s">
        <v>419</v>
      </c>
      <c r="D281" t="s">
        <v>17</v>
      </c>
      <c r="E281" t="s">
        <v>158</v>
      </c>
      <c r="F281" t="s">
        <v>158</v>
      </c>
      <c r="G281" s="6">
        <v>2</v>
      </c>
      <c r="H281" s="3">
        <v>32120</v>
      </c>
      <c r="I281" s="5">
        <v>0.27</v>
      </c>
      <c r="J281" s="4">
        <v>2083.3000000000002</v>
      </c>
      <c r="K281" t="s">
        <v>19</v>
      </c>
      <c r="L281" t="s">
        <v>20</v>
      </c>
      <c r="M281" t="s">
        <v>21</v>
      </c>
      <c r="N281" t="s">
        <v>22</v>
      </c>
      <c r="O281" t="s">
        <v>23</v>
      </c>
    </row>
    <row r="282" spans="1:15" x14ac:dyDescent="0.3">
      <c r="A282" s="2" t="s">
        <v>281</v>
      </c>
      <c r="B282" s="2">
        <v>45699</v>
      </c>
      <c r="C282" t="s">
        <v>255</v>
      </c>
      <c r="D282" t="s">
        <v>68</v>
      </c>
      <c r="E282" t="s">
        <v>237</v>
      </c>
      <c r="F282" t="s">
        <v>237</v>
      </c>
      <c r="G282" s="6">
        <v>1</v>
      </c>
      <c r="H282" s="3">
        <v>720</v>
      </c>
      <c r="I282" s="5">
        <v>0.2</v>
      </c>
      <c r="J282" s="4">
        <v>105.8</v>
      </c>
      <c r="K282" t="s">
        <v>28</v>
      </c>
      <c r="L282" t="s">
        <v>42</v>
      </c>
      <c r="M282" t="s">
        <v>43</v>
      </c>
      <c r="N282" t="s">
        <v>22</v>
      </c>
      <c r="O282" t="s">
        <v>23</v>
      </c>
    </row>
    <row r="283" spans="1:15" x14ac:dyDescent="0.3">
      <c r="A283" s="2" t="s">
        <v>1184</v>
      </c>
      <c r="B283" s="2">
        <v>45981</v>
      </c>
      <c r="C283" t="s">
        <v>40</v>
      </c>
      <c r="D283" t="s">
        <v>47</v>
      </c>
      <c r="E283" t="s">
        <v>194</v>
      </c>
      <c r="F283" t="s">
        <v>194</v>
      </c>
      <c r="G283" s="6">
        <v>3</v>
      </c>
      <c r="H283" s="3">
        <v>151800</v>
      </c>
      <c r="I283" s="5">
        <v>0.08</v>
      </c>
      <c r="J283" s="4">
        <v>20359.47</v>
      </c>
      <c r="K283" t="s">
        <v>49</v>
      </c>
      <c r="L283" t="s">
        <v>134</v>
      </c>
      <c r="M283" t="s">
        <v>135</v>
      </c>
      <c r="N283" t="s">
        <v>55</v>
      </c>
      <c r="O283" t="s">
        <v>23</v>
      </c>
    </row>
    <row r="284" spans="1:15" x14ac:dyDescent="0.3">
      <c r="A284" s="2" t="s">
        <v>889</v>
      </c>
      <c r="B284" s="2">
        <v>45871</v>
      </c>
      <c r="C284" t="s">
        <v>735</v>
      </c>
      <c r="D284" t="s">
        <v>26</v>
      </c>
      <c r="E284" t="s">
        <v>188</v>
      </c>
      <c r="F284" t="s">
        <v>188</v>
      </c>
      <c r="G284" s="6">
        <v>5</v>
      </c>
      <c r="H284" s="3">
        <v>11550</v>
      </c>
      <c r="I284" s="5">
        <v>0.23</v>
      </c>
      <c r="J284" s="4">
        <v>1765.1</v>
      </c>
      <c r="K284" t="s">
        <v>65</v>
      </c>
      <c r="L284" t="s">
        <v>170</v>
      </c>
      <c r="M284" t="s">
        <v>171</v>
      </c>
      <c r="N284" t="s">
        <v>31</v>
      </c>
      <c r="O284" t="s">
        <v>23</v>
      </c>
    </row>
    <row r="285" spans="1:15" x14ac:dyDescent="0.3">
      <c r="A285" s="2" t="s">
        <v>740</v>
      </c>
      <c r="B285" s="2">
        <v>45821</v>
      </c>
      <c r="C285" t="s">
        <v>106</v>
      </c>
      <c r="D285" t="s">
        <v>34</v>
      </c>
      <c r="E285" t="s">
        <v>143</v>
      </c>
      <c r="F285" t="s">
        <v>143</v>
      </c>
      <c r="G285" s="6">
        <v>2</v>
      </c>
      <c r="H285" s="3">
        <v>1376</v>
      </c>
      <c r="I285" s="5">
        <v>0.14000000000000001</v>
      </c>
      <c r="J285" s="4">
        <v>286.97000000000003</v>
      </c>
      <c r="K285" t="s">
        <v>65</v>
      </c>
      <c r="L285" t="s">
        <v>70</v>
      </c>
      <c r="M285" t="s">
        <v>71</v>
      </c>
      <c r="N285" t="s">
        <v>55</v>
      </c>
      <c r="O285" t="s">
        <v>23</v>
      </c>
    </row>
    <row r="286" spans="1:15" x14ac:dyDescent="0.3">
      <c r="A286" s="2" t="s">
        <v>39</v>
      </c>
      <c r="B286" s="2">
        <v>45662</v>
      </c>
      <c r="C286" t="s">
        <v>40</v>
      </c>
      <c r="D286" t="s">
        <v>34</v>
      </c>
      <c r="E286" t="s">
        <v>41</v>
      </c>
      <c r="F286" t="s">
        <v>41</v>
      </c>
      <c r="G286" s="6">
        <v>3</v>
      </c>
      <c r="H286" s="3">
        <v>12750</v>
      </c>
      <c r="I286" s="5">
        <v>0.15</v>
      </c>
      <c r="J286" s="4">
        <v>1667.19</v>
      </c>
      <c r="K286" t="s">
        <v>19</v>
      </c>
      <c r="L286" t="s">
        <v>42</v>
      </c>
      <c r="M286" t="s">
        <v>43</v>
      </c>
      <c r="N286" t="s">
        <v>22</v>
      </c>
      <c r="O286" t="s">
        <v>44</v>
      </c>
    </row>
    <row r="287" spans="1:15" x14ac:dyDescent="0.3">
      <c r="A287" s="2" t="s">
        <v>707</v>
      </c>
      <c r="B287" s="2">
        <v>45811</v>
      </c>
      <c r="C287" t="s">
        <v>255</v>
      </c>
      <c r="D287" t="s">
        <v>95</v>
      </c>
      <c r="E287" t="s">
        <v>125</v>
      </c>
      <c r="F287" t="s">
        <v>125</v>
      </c>
      <c r="G287" s="6">
        <v>2</v>
      </c>
      <c r="H287" s="3">
        <v>3240</v>
      </c>
      <c r="I287" s="5">
        <v>0.1</v>
      </c>
      <c r="J287" s="4">
        <v>588.22</v>
      </c>
      <c r="K287" t="s">
        <v>49</v>
      </c>
      <c r="L287" t="s">
        <v>60</v>
      </c>
      <c r="M287" t="s">
        <v>61</v>
      </c>
      <c r="N287" t="s">
        <v>38</v>
      </c>
      <c r="O287" t="s">
        <v>44</v>
      </c>
    </row>
    <row r="288" spans="1:15" x14ac:dyDescent="0.3">
      <c r="A288" s="2" t="s">
        <v>963</v>
      </c>
      <c r="B288" s="2">
        <v>45899</v>
      </c>
      <c r="C288" t="s">
        <v>211</v>
      </c>
      <c r="D288" t="s">
        <v>34</v>
      </c>
      <c r="E288" t="s">
        <v>41</v>
      </c>
      <c r="F288" t="s">
        <v>41</v>
      </c>
      <c r="G288" s="6">
        <v>1</v>
      </c>
      <c r="H288" s="3">
        <v>4350</v>
      </c>
      <c r="I288" s="5">
        <v>0.13</v>
      </c>
      <c r="J288" s="4">
        <v>712.87</v>
      </c>
      <c r="K288" t="s">
        <v>65</v>
      </c>
      <c r="L288" t="s">
        <v>159</v>
      </c>
      <c r="M288" t="s">
        <v>160</v>
      </c>
      <c r="N288" t="s">
        <v>38</v>
      </c>
      <c r="O288" t="s">
        <v>23</v>
      </c>
    </row>
    <row r="289" spans="1:15" x14ac:dyDescent="0.3">
      <c r="A289" s="2" t="s">
        <v>1197</v>
      </c>
      <c r="B289" s="2">
        <v>45985</v>
      </c>
      <c r="C289" t="s">
        <v>378</v>
      </c>
      <c r="D289" t="s">
        <v>34</v>
      </c>
      <c r="E289" t="s">
        <v>41</v>
      </c>
      <c r="F289" t="s">
        <v>41</v>
      </c>
      <c r="G289" s="6">
        <v>1</v>
      </c>
      <c r="H289" s="3">
        <v>4250</v>
      </c>
      <c r="I289" s="5">
        <v>0.15</v>
      </c>
      <c r="J289" s="4">
        <v>282.58</v>
      </c>
      <c r="K289" t="s">
        <v>28</v>
      </c>
      <c r="L289" t="s">
        <v>78</v>
      </c>
      <c r="M289" t="s">
        <v>79</v>
      </c>
      <c r="N289" t="s">
        <v>22</v>
      </c>
      <c r="O289" t="s">
        <v>23</v>
      </c>
    </row>
    <row r="290" spans="1:15" x14ac:dyDescent="0.3">
      <c r="A290" s="2" t="s">
        <v>336</v>
      </c>
      <c r="B290" s="2">
        <v>45711</v>
      </c>
      <c r="C290" t="s">
        <v>337</v>
      </c>
      <c r="D290" t="s">
        <v>17</v>
      </c>
      <c r="E290" t="s">
        <v>110</v>
      </c>
      <c r="F290" t="s">
        <v>110</v>
      </c>
      <c r="G290" s="6">
        <v>5</v>
      </c>
      <c r="H290" s="3">
        <v>25675</v>
      </c>
      <c r="I290" s="5">
        <v>0.21</v>
      </c>
      <c r="J290" s="4">
        <v>3920.72</v>
      </c>
      <c r="K290" t="s">
        <v>75</v>
      </c>
      <c r="L290" t="s">
        <v>42</v>
      </c>
      <c r="M290" t="s">
        <v>43</v>
      </c>
      <c r="N290" t="s">
        <v>22</v>
      </c>
      <c r="O290" t="s">
        <v>44</v>
      </c>
    </row>
    <row r="291" spans="1:15" x14ac:dyDescent="0.3">
      <c r="A291" s="2" t="s">
        <v>1081</v>
      </c>
      <c r="B291" s="2">
        <v>45943</v>
      </c>
      <c r="C291" t="s">
        <v>100</v>
      </c>
      <c r="D291" t="s">
        <v>95</v>
      </c>
      <c r="E291" t="s">
        <v>104</v>
      </c>
      <c r="F291" t="s">
        <v>104</v>
      </c>
      <c r="G291" s="6">
        <v>1</v>
      </c>
      <c r="H291" s="3">
        <v>3080</v>
      </c>
      <c r="I291" s="5">
        <v>0.12</v>
      </c>
      <c r="J291" s="4">
        <v>527.96</v>
      </c>
      <c r="K291" t="s">
        <v>49</v>
      </c>
      <c r="L291" t="s">
        <v>29</v>
      </c>
      <c r="M291" t="s">
        <v>30</v>
      </c>
      <c r="N291" t="s">
        <v>31</v>
      </c>
      <c r="O291" t="s">
        <v>44</v>
      </c>
    </row>
    <row r="292" spans="1:15" x14ac:dyDescent="0.3">
      <c r="A292" s="2" t="s">
        <v>264</v>
      </c>
      <c r="B292" s="2">
        <v>45694</v>
      </c>
      <c r="C292" t="s">
        <v>249</v>
      </c>
      <c r="D292" t="s">
        <v>47</v>
      </c>
      <c r="E292" t="s">
        <v>194</v>
      </c>
      <c r="F292" t="s">
        <v>194</v>
      </c>
      <c r="G292" s="6">
        <v>2</v>
      </c>
      <c r="H292" s="3">
        <v>96800</v>
      </c>
      <c r="I292" s="5">
        <v>0.12</v>
      </c>
      <c r="J292" s="4">
        <v>12792.03</v>
      </c>
      <c r="K292" t="s">
        <v>65</v>
      </c>
      <c r="L292" t="s">
        <v>36</v>
      </c>
      <c r="M292" t="s">
        <v>128</v>
      </c>
      <c r="N292" t="s">
        <v>38</v>
      </c>
      <c r="O292" t="s">
        <v>44</v>
      </c>
    </row>
    <row r="293" spans="1:15" x14ac:dyDescent="0.3">
      <c r="A293" s="2" t="s">
        <v>197</v>
      </c>
      <c r="B293" s="2">
        <v>45680</v>
      </c>
      <c r="C293" t="s">
        <v>198</v>
      </c>
      <c r="D293" t="s">
        <v>17</v>
      </c>
      <c r="E293" t="s">
        <v>85</v>
      </c>
      <c r="F293" t="s">
        <v>85</v>
      </c>
      <c r="G293" s="6">
        <v>1</v>
      </c>
      <c r="H293" s="3">
        <v>6225</v>
      </c>
      <c r="I293" s="5">
        <v>0.17</v>
      </c>
      <c r="J293" s="4">
        <v>693.32</v>
      </c>
      <c r="K293" t="s">
        <v>49</v>
      </c>
      <c r="L293" t="s">
        <v>60</v>
      </c>
      <c r="M293" t="s">
        <v>61</v>
      </c>
      <c r="N293" t="s">
        <v>38</v>
      </c>
      <c r="O293" t="s">
        <v>44</v>
      </c>
    </row>
    <row r="294" spans="1:15" x14ac:dyDescent="0.3">
      <c r="A294" s="2" t="s">
        <v>802</v>
      </c>
      <c r="B294" s="2">
        <v>45845</v>
      </c>
      <c r="C294" t="s">
        <v>218</v>
      </c>
      <c r="D294" t="s">
        <v>17</v>
      </c>
      <c r="E294" t="s">
        <v>158</v>
      </c>
      <c r="F294" t="s">
        <v>158</v>
      </c>
      <c r="G294" s="6">
        <v>1</v>
      </c>
      <c r="H294" s="3">
        <v>17820</v>
      </c>
      <c r="I294" s="5">
        <v>0.19</v>
      </c>
      <c r="J294" s="4">
        <v>2313.4499999999998</v>
      </c>
      <c r="K294" t="s">
        <v>75</v>
      </c>
      <c r="L294" t="s">
        <v>134</v>
      </c>
      <c r="M294" t="s">
        <v>135</v>
      </c>
      <c r="N294" t="s">
        <v>55</v>
      </c>
      <c r="O294" t="s">
        <v>23</v>
      </c>
    </row>
    <row r="295" spans="1:15" x14ac:dyDescent="0.3">
      <c r="A295" s="2" t="s">
        <v>801</v>
      </c>
      <c r="B295" s="2">
        <v>45845</v>
      </c>
      <c r="C295" t="s">
        <v>304</v>
      </c>
      <c r="D295" t="s">
        <v>47</v>
      </c>
      <c r="E295" t="s">
        <v>48</v>
      </c>
      <c r="F295" t="s">
        <v>48</v>
      </c>
      <c r="G295" s="6">
        <v>1</v>
      </c>
      <c r="H295" s="3">
        <v>21250</v>
      </c>
      <c r="I295" s="5">
        <v>0.15</v>
      </c>
      <c r="J295" s="4">
        <v>2781.47</v>
      </c>
      <c r="K295" t="s">
        <v>49</v>
      </c>
      <c r="L295" t="s">
        <v>36</v>
      </c>
      <c r="M295" t="s">
        <v>37</v>
      </c>
      <c r="N295" t="s">
        <v>38</v>
      </c>
      <c r="O295" t="s">
        <v>44</v>
      </c>
    </row>
    <row r="296" spans="1:15" x14ac:dyDescent="0.3">
      <c r="A296" s="2" t="s">
        <v>1106</v>
      </c>
      <c r="B296" s="2">
        <v>45952</v>
      </c>
      <c r="C296" t="s">
        <v>84</v>
      </c>
      <c r="D296" t="s">
        <v>47</v>
      </c>
      <c r="E296" t="s">
        <v>194</v>
      </c>
      <c r="F296" t="s">
        <v>194</v>
      </c>
      <c r="G296" s="6">
        <v>1</v>
      </c>
      <c r="H296" s="3">
        <v>49500</v>
      </c>
      <c r="I296" s="5">
        <v>0.1</v>
      </c>
      <c r="J296" s="4">
        <v>5968.63</v>
      </c>
      <c r="K296" t="s">
        <v>28</v>
      </c>
      <c r="L296" t="s">
        <v>159</v>
      </c>
      <c r="M296" t="s">
        <v>160</v>
      </c>
      <c r="N296" t="s">
        <v>38</v>
      </c>
      <c r="O296" t="s">
        <v>44</v>
      </c>
    </row>
    <row r="297" spans="1:15" x14ac:dyDescent="0.3">
      <c r="A297" s="2" t="s">
        <v>195</v>
      </c>
      <c r="B297" s="2">
        <v>45680</v>
      </c>
      <c r="C297" t="s">
        <v>196</v>
      </c>
      <c r="D297" t="s">
        <v>95</v>
      </c>
      <c r="E297" t="s">
        <v>125</v>
      </c>
      <c r="F297" t="s">
        <v>125</v>
      </c>
      <c r="G297" s="6">
        <v>5</v>
      </c>
      <c r="H297" s="3">
        <v>7020</v>
      </c>
      <c r="I297" s="5">
        <v>0.22</v>
      </c>
      <c r="J297" s="4">
        <v>1270.44</v>
      </c>
      <c r="K297" t="s">
        <v>65</v>
      </c>
      <c r="L297" t="s">
        <v>86</v>
      </c>
      <c r="M297" t="s">
        <v>87</v>
      </c>
      <c r="N297" t="s">
        <v>38</v>
      </c>
      <c r="O297" t="s">
        <v>23</v>
      </c>
    </row>
    <row r="298" spans="1:15" x14ac:dyDescent="0.3">
      <c r="A298" s="2" t="s">
        <v>328</v>
      </c>
      <c r="B298" s="2">
        <v>45710</v>
      </c>
      <c r="C298" t="s">
        <v>203</v>
      </c>
      <c r="D298" t="s">
        <v>26</v>
      </c>
      <c r="E298" t="s">
        <v>188</v>
      </c>
      <c r="F298" t="s">
        <v>188</v>
      </c>
      <c r="G298" s="6">
        <v>2</v>
      </c>
      <c r="H298" s="3">
        <v>5220</v>
      </c>
      <c r="I298" s="5">
        <v>0.13</v>
      </c>
      <c r="J298" s="4">
        <v>857.09</v>
      </c>
      <c r="K298" t="s">
        <v>75</v>
      </c>
      <c r="L298" t="s">
        <v>170</v>
      </c>
      <c r="M298" t="s">
        <v>171</v>
      </c>
      <c r="N298" t="s">
        <v>31</v>
      </c>
      <c r="O298" t="s">
        <v>23</v>
      </c>
    </row>
    <row r="299" spans="1:15" x14ac:dyDescent="0.3">
      <c r="A299" s="2" t="s">
        <v>1232</v>
      </c>
      <c r="B299" s="2">
        <v>45995</v>
      </c>
      <c r="C299" t="s">
        <v>203</v>
      </c>
      <c r="D299" t="s">
        <v>68</v>
      </c>
      <c r="E299" t="s">
        <v>237</v>
      </c>
      <c r="F299" t="s">
        <v>237</v>
      </c>
      <c r="G299" s="6">
        <v>4</v>
      </c>
      <c r="H299" s="3">
        <v>2988</v>
      </c>
      <c r="I299" s="5">
        <v>0.17</v>
      </c>
      <c r="J299" s="4">
        <v>621.58000000000004</v>
      </c>
      <c r="K299" t="s">
        <v>75</v>
      </c>
      <c r="L299" t="s">
        <v>134</v>
      </c>
      <c r="M299" t="s">
        <v>135</v>
      </c>
      <c r="N299" t="s">
        <v>55</v>
      </c>
      <c r="O299" t="s">
        <v>23</v>
      </c>
    </row>
    <row r="300" spans="1:15" x14ac:dyDescent="0.3">
      <c r="A300" s="2" t="s">
        <v>1104</v>
      </c>
      <c r="B300" s="2">
        <v>45951</v>
      </c>
      <c r="C300" t="s">
        <v>117</v>
      </c>
      <c r="D300" t="s">
        <v>34</v>
      </c>
      <c r="E300" t="s">
        <v>41</v>
      </c>
      <c r="F300" t="s">
        <v>41</v>
      </c>
      <c r="G300" s="6">
        <v>3</v>
      </c>
      <c r="H300" s="3">
        <v>13500</v>
      </c>
      <c r="I300" s="5">
        <v>0.1</v>
      </c>
      <c r="J300" s="4">
        <v>2712.75</v>
      </c>
      <c r="K300" t="s">
        <v>28</v>
      </c>
      <c r="L300" t="s">
        <v>60</v>
      </c>
      <c r="M300" t="s">
        <v>61</v>
      </c>
      <c r="N300" t="s">
        <v>38</v>
      </c>
      <c r="O300" t="s">
        <v>23</v>
      </c>
    </row>
    <row r="301" spans="1:15" x14ac:dyDescent="0.3">
      <c r="A301" s="2" t="s">
        <v>389</v>
      </c>
      <c r="B301" s="2">
        <v>45722</v>
      </c>
      <c r="C301" t="s">
        <v>157</v>
      </c>
      <c r="D301" t="s">
        <v>34</v>
      </c>
      <c r="E301" t="s">
        <v>143</v>
      </c>
      <c r="F301" t="s">
        <v>143</v>
      </c>
      <c r="G301" s="6">
        <v>4</v>
      </c>
      <c r="H301" s="3">
        <v>2624</v>
      </c>
      <c r="I301" s="5">
        <v>0.18</v>
      </c>
      <c r="J301" s="4">
        <v>529.67999999999995</v>
      </c>
      <c r="K301" t="s">
        <v>75</v>
      </c>
      <c r="L301" t="s">
        <v>149</v>
      </c>
      <c r="M301" t="s">
        <v>150</v>
      </c>
      <c r="N301" t="s">
        <v>38</v>
      </c>
      <c r="O301" t="s">
        <v>44</v>
      </c>
    </row>
    <row r="302" spans="1:15" x14ac:dyDescent="0.3">
      <c r="A302" s="2" t="s">
        <v>763</v>
      </c>
      <c r="B302" s="2">
        <v>45834</v>
      </c>
      <c r="C302" t="s">
        <v>92</v>
      </c>
      <c r="D302" t="s">
        <v>47</v>
      </c>
      <c r="E302" t="s">
        <v>82</v>
      </c>
      <c r="F302" t="s">
        <v>82</v>
      </c>
      <c r="G302" s="6">
        <v>3</v>
      </c>
      <c r="H302" s="3">
        <v>9030</v>
      </c>
      <c r="I302" s="5">
        <v>0.14000000000000001</v>
      </c>
      <c r="J302" s="4">
        <v>1530.97</v>
      </c>
      <c r="K302" t="s">
        <v>65</v>
      </c>
      <c r="L302" t="s">
        <v>36</v>
      </c>
      <c r="M302" t="s">
        <v>128</v>
      </c>
      <c r="N302" t="s">
        <v>38</v>
      </c>
      <c r="O302" t="s">
        <v>44</v>
      </c>
    </row>
    <row r="303" spans="1:15" x14ac:dyDescent="0.3">
      <c r="A303" s="2" t="s">
        <v>880</v>
      </c>
      <c r="B303" s="2">
        <v>45870</v>
      </c>
      <c r="C303" t="s">
        <v>296</v>
      </c>
      <c r="D303" t="s">
        <v>26</v>
      </c>
      <c r="E303" t="s">
        <v>64</v>
      </c>
      <c r="F303" t="s">
        <v>64</v>
      </c>
      <c r="G303" s="6">
        <v>2</v>
      </c>
      <c r="H303" s="3">
        <v>1404</v>
      </c>
      <c r="I303" s="5">
        <v>0.22</v>
      </c>
      <c r="J303" s="4">
        <v>287.73</v>
      </c>
      <c r="K303" t="s">
        <v>28</v>
      </c>
      <c r="L303" t="s">
        <v>208</v>
      </c>
      <c r="M303" t="s">
        <v>209</v>
      </c>
      <c r="N303" t="s">
        <v>31</v>
      </c>
      <c r="O303" t="s">
        <v>23</v>
      </c>
    </row>
    <row r="304" spans="1:15" x14ac:dyDescent="0.3">
      <c r="A304" s="2" t="s">
        <v>657</v>
      </c>
      <c r="B304" s="2">
        <v>45797</v>
      </c>
      <c r="C304" t="s">
        <v>255</v>
      </c>
      <c r="D304" t="s">
        <v>68</v>
      </c>
      <c r="E304" t="s">
        <v>153</v>
      </c>
      <c r="F304" t="s">
        <v>153</v>
      </c>
      <c r="G304" s="6">
        <v>5</v>
      </c>
      <c r="H304" s="3">
        <v>4920</v>
      </c>
      <c r="I304" s="5">
        <v>0.18</v>
      </c>
      <c r="J304" s="4">
        <v>815.49</v>
      </c>
      <c r="K304" t="s">
        <v>65</v>
      </c>
      <c r="L304" t="s">
        <v>29</v>
      </c>
      <c r="M304" t="s">
        <v>30</v>
      </c>
      <c r="N304" t="s">
        <v>31</v>
      </c>
      <c r="O304" t="s">
        <v>44</v>
      </c>
    </row>
    <row r="305" spans="1:15" x14ac:dyDescent="0.3">
      <c r="A305" s="2" t="s">
        <v>1008</v>
      </c>
      <c r="B305" s="2">
        <v>45913</v>
      </c>
      <c r="C305" t="s">
        <v>432</v>
      </c>
      <c r="D305" t="s">
        <v>17</v>
      </c>
      <c r="E305" t="s">
        <v>18</v>
      </c>
      <c r="F305" t="s">
        <v>18</v>
      </c>
      <c r="G305" s="6">
        <v>1</v>
      </c>
      <c r="H305" s="3">
        <v>24900</v>
      </c>
      <c r="I305" s="5">
        <v>0.17</v>
      </c>
      <c r="J305" s="4">
        <v>2149.0100000000002</v>
      </c>
      <c r="K305" t="s">
        <v>28</v>
      </c>
      <c r="L305" t="s">
        <v>208</v>
      </c>
      <c r="M305" t="s">
        <v>209</v>
      </c>
      <c r="N305" t="s">
        <v>31</v>
      </c>
      <c r="O305" t="s">
        <v>23</v>
      </c>
    </row>
    <row r="306" spans="1:15" x14ac:dyDescent="0.3">
      <c r="A306" s="2" t="s">
        <v>230</v>
      </c>
      <c r="B306" s="2">
        <v>45688</v>
      </c>
      <c r="C306" t="s">
        <v>231</v>
      </c>
      <c r="D306" t="s">
        <v>47</v>
      </c>
      <c r="E306" t="s">
        <v>48</v>
      </c>
      <c r="F306" t="s">
        <v>48</v>
      </c>
      <c r="G306" s="6">
        <v>4</v>
      </c>
      <c r="H306" s="3">
        <v>89000</v>
      </c>
      <c r="I306" s="5">
        <v>0.11</v>
      </c>
      <c r="J306" s="4">
        <v>13580.97</v>
      </c>
      <c r="K306" t="s">
        <v>65</v>
      </c>
      <c r="L306" t="s">
        <v>36</v>
      </c>
      <c r="M306" t="s">
        <v>128</v>
      </c>
      <c r="N306" t="s">
        <v>38</v>
      </c>
      <c r="O306" t="s">
        <v>23</v>
      </c>
    </row>
    <row r="307" spans="1:15" x14ac:dyDescent="0.3">
      <c r="A307" s="2" t="s">
        <v>897</v>
      </c>
      <c r="B307" s="2">
        <v>45873</v>
      </c>
      <c r="C307" t="s">
        <v>247</v>
      </c>
      <c r="D307" t="s">
        <v>47</v>
      </c>
      <c r="E307" t="s">
        <v>214</v>
      </c>
      <c r="F307" t="s">
        <v>214</v>
      </c>
      <c r="G307" s="6">
        <v>3</v>
      </c>
      <c r="H307" s="3">
        <v>2268</v>
      </c>
      <c r="I307" s="5">
        <v>0.16</v>
      </c>
      <c r="J307" s="4">
        <v>306.89</v>
      </c>
      <c r="K307" t="s">
        <v>65</v>
      </c>
      <c r="L307" t="s">
        <v>60</v>
      </c>
      <c r="M307" t="s">
        <v>61</v>
      </c>
      <c r="N307" t="s">
        <v>38</v>
      </c>
      <c r="O307" t="s">
        <v>23</v>
      </c>
    </row>
    <row r="308" spans="1:15" x14ac:dyDescent="0.3">
      <c r="A308" s="2" t="s">
        <v>391</v>
      </c>
      <c r="B308" s="2">
        <v>45722</v>
      </c>
      <c r="C308" t="s">
        <v>51</v>
      </c>
      <c r="D308" t="s">
        <v>68</v>
      </c>
      <c r="E308" t="s">
        <v>69</v>
      </c>
      <c r="F308" t="s">
        <v>69</v>
      </c>
      <c r="G308" s="6">
        <v>2</v>
      </c>
      <c r="H308" s="3">
        <v>790</v>
      </c>
      <c r="I308" s="5">
        <v>0.21</v>
      </c>
      <c r="J308" s="4">
        <v>130.1</v>
      </c>
      <c r="K308" t="s">
        <v>19</v>
      </c>
      <c r="L308" t="s">
        <v>134</v>
      </c>
      <c r="M308" t="s">
        <v>135</v>
      </c>
      <c r="N308" t="s">
        <v>55</v>
      </c>
      <c r="O308" t="s">
        <v>23</v>
      </c>
    </row>
    <row r="309" spans="1:15" x14ac:dyDescent="0.3">
      <c r="A309" s="2" t="s">
        <v>427</v>
      </c>
      <c r="B309" s="2">
        <v>45731</v>
      </c>
      <c r="C309" t="s">
        <v>291</v>
      </c>
      <c r="D309" t="s">
        <v>17</v>
      </c>
      <c r="E309" t="s">
        <v>158</v>
      </c>
      <c r="F309" t="s">
        <v>158</v>
      </c>
      <c r="G309" s="6">
        <v>2</v>
      </c>
      <c r="H309" s="3">
        <v>35640</v>
      </c>
      <c r="I309" s="5">
        <v>0.19</v>
      </c>
      <c r="J309" s="4">
        <v>3993.76</v>
      </c>
      <c r="K309" t="s">
        <v>52</v>
      </c>
      <c r="L309" t="s">
        <v>36</v>
      </c>
      <c r="M309" t="s">
        <v>101</v>
      </c>
      <c r="N309" t="s">
        <v>38</v>
      </c>
      <c r="O309" t="s">
        <v>44</v>
      </c>
    </row>
    <row r="310" spans="1:15" x14ac:dyDescent="0.3">
      <c r="A310" s="2" t="s">
        <v>146</v>
      </c>
      <c r="B310" s="2">
        <v>45674</v>
      </c>
      <c r="C310" t="s">
        <v>147</v>
      </c>
      <c r="D310" t="s">
        <v>17</v>
      </c>
      <c r="E310" t="s">
        <v>148</v>
      </c>
      <c r="F310" t="s">
        <v>148</v>
      </c>
      <c r="G310" s="6">
        <v>2</v>
      </c>
      <c r="H310" s="3">
        <v>43120</v>
      </c>
      <c r="I310" s="5">
        <v>0.23</v>
      </c>
      <c r="J310" s="4">
        <v>3289.58</v>
      </c>
      <c r="K310" t="s">
        <v>75</v>
      </c>
      <c r="L310" t="s">
        <v>149</v>
      </c>
      <c r="M310" t="s">
        <v>150</v>
      </c>
      <c r="N310" t="s">
        <v>38</v>
      </c>
      <c r="O310" t="s">
        <v>23</v>
      </c>
    </row>
    <row r="311" spans="1:15" x14ac:dyDescent="0.3">
      <c r="A311" s="2" t="s">
        <v>1237</v>
      </c>
      <c r="B311" s="2">
        <v>45997</v>
      </c>
      <c r="C311" t="s">
        <v>94</v>
      </c>
      <c r="D311" t="s">
        <v>58</v>
      </c>
      <c r="E311" t="s">
        <v>77</v>
      </c>
      <c r="F311" t="s">
        <v>77</v>
      </c>
      <c r="G311" s="6">
        <v>1</v>
      </c>
      <c r="H311" s="3">
        <v>1476</v>
      </c>
      <c r="I311" s="5">
        <v>0.18</v>
      </c>
      <c r="J311" s="4">
        <v>281.16000000000003</v>
      </c>
      <c r="K311" t="s">
        <v>49</v>
      </c>
      <c r="L311" t="s">
        <v>97</v>
      </c>
      <c r="M311" t="s">
        <v>163</v>
      </c>
      <c r="N311" t="s">
        <v>31</v>
      </c>
      <c r="O311" t="s">
        <v>44</v>
      </c>
    </row>
    <row r="312" spans="1:15" x14ac:dyDescent="0.3">
      <c r="A312" s="2" t="s">
        <v>639</v>
      </c>
      <c r="B312" s="2">
        <v>45791</v>
      </c>
      <c r="C312" t="s">
        <v>180</v>
      </c>
      <c r="D312" t="s">
        <v>47</v>
      </c>
      <c r="E312" t="s">
        <v>368</v>
      </c>
      <c r="F312" t="s">
        <v>368</v>
      </c>
      <c r="G312" s="6">
        <v>2</v>
      </c>
      <c r="H312" s="3">
        <v>2880</v>
      </c>
      <c r="I312" s="5">
        <v>0.2</v>
      </c>
      <c r="J312" s="4">
        <v>315.12</v>
      </c>
      <c r="K312" t="s">
        <v>65</v>
      </c>
      <c r="L312" t="s">
        <v>29</v>
      </c>
      <c r="M312" t="s">
        <v>30</v>
      </c>
      <c r="N312" t="s">
        <v>31</v>
      </c>
      <c r="O312" t="s">
        <v>44</v>
      </c>
    </row>
    <row r="313" spans="1:15" x14ac:dyDescent="0.3">
      <c r="A313" s="2" t="s">
        <v>640</v>
      </c>
      <c r="B313" s="2">
        <v>45792</v>
      </c>
      <c r="C313" t="s">
        <v>291</v>
      </c>
      <c r="D313" t="s">
        <v>68</v>
      </c>
      <c r="E313" t="s">
        <v>69</v>
      </c>
      <c r="F313" t="s">
        <v>69</v>
      </c>
      <c r="G313" s="6">
        <v>1</v>
      </c>
      <c r="H313" s="3">
        <v>370</v>
      </c>
      <c r="I313" s="5">
        <v>0.26</v>
      </c>
      <c r="J313" s="4">
        <v>80.260000000000005</v>
      </c>
      <c r="K313" t="s">
        <v>28</v>
      </c>
      <c r="L313" t="s">
        <v>170</v>
      </c>
      <c r="M313" t="s">
        <v>171</v>
      </c>
      <c r="N313" t="s">
        <v>31</v>
      </c>
      <c r="O313" t="s">
        <v>44</v>
      </c>
    </row>
    <row r="314" spans="1:15" x14ac:dyDescent="0.3">
      <c r="A314" s="2" t="s">
        <v>824</v>
      </c>
      <c r="B314" s="2">
        <v>45852</v>
      </c>
      <c r="C314" t="s">
        <v>319</v>
      </c>
      <c r="D314" t="s">
        <v>58</v>
      </c>
      <c r="E314" t="s">
        <v>138</v>
      </c>
      <c r="F314" t="s">
        <v>138</v>
      </c>
      <c r="G314" s="6">
        <v>4</v>
      </c>
      <c r="H314" s="3">
        <v>7392</v>
      </c>
      <c r="I314" s="5">
        <v>0.16</v>
      </c>
      <c r="J314" s="4">
        <v>1300.2</v>
      </c>
      <c r="K314" t="s">
        <v>65</v>
      </c>
      <c r="L314" t="s">
        <v>20</v>
      </c>
      <c r="M314" t="s">
        <v>21</v>
      </c>
      <c r="N314" t="s">
        <v>22</v>
      </c>
      <c r="O314" t="s">
        <v>23</v>
      </c>
    </row>
    <row r="315" spans="1:15" x14ac:dyDescent="0.3">
      <c r="A315" s="2" t="s">
        <v>538</v>
      </c>
      <c r="B315" s="2">
        <v>45761</v>
      </c>
      <c r="C315" t="s">
        <v>16</v>
      </c>
      <c r="D315" t="s">
        <v>17</v>
      </c>
      <c r="E315" t="s">
        <v>85</v>
      </c>
      <c r="F315" t="s">
        <v>85</v>
      </c>
      <c r="G315" s="6">
        <v>3</v>
      </c>
      <c r="H315" s="3">
        <v>18000</v>
      </c>
      <c r="I315" s="5">
        <v>0.2</v>
      </c>
      <c r="J315" s="4">
        <v>2363.23</v>
      </c>
      <c r="K315" t="s">
        <v>52</v>
      </c>
      <c r="L315" t="s">
        <v>208</v>
      </c>
      <c r="M315" t="s">
        <v>209</v>
      </c>
      <c r="N315" t="s">
        <v>31</v>
      </c>
      <c r="O315" t="s">
        <v>44</v>
      </c>
    </row>
    <row r="316" spans="1:15" x14ac:dyDescent="0.3">
      <c r="A316" s="2" t="s">
        <v>1289</v>
      </c>
      <c r="B316" s="2">
        <v>46019</v>
      </c>
      <c r="C316" t="s">
        <v>229</v>
      </c>
      <c r="D316" t="s">
        <v>58</v>
      </c>
      <c r="E316" t="s">
        <v>59</v>
      </c>
      <c r="F316" t="s">
        <v>59</v>
      </c>
      <c r="G316" s="6">
        <v>4</v>
      </c>
      <c r="H316" s="3">
        <v>1422</v>
      </c>
      <c r="I316" s="5">
        <v>0.21</v>
      </c>
      <c r="J316" s="4">
        <v>306.19</v>
      </c>
      <c r="K316" t="s">
        <v>28</v>
      </c>
      <c r="L316" t="s">
        <v>97</v>
      </c>
      <c r="M316" t="s">
        <v>98</v>
      </c>
      <c r="N316" t="s">
        <v>31</v>
      </c>
      <c r="O316" t="s">
        <v>23</v>
      </c>
    </row>
    <row r="317" spans="1:15" x14ac:dyDescent="0.3">
      <c r="A317" s="2" t="s">
        <v>405</v>
      </c>
      <c r="B317" s="2">
        <v>45725</v>
      </c>
      <c r="C317" t="s">
        <v>140</v>
      </c>
      <c r="D317" t="s">
        <v>95</v>
      </c>
      <c r="E317" t="s">
        <v>185</v>
      </c>
      <c r="F317" t="s">
        <v>185</v>
      </c>
      <c r="G317" s="6">
        <v>1</v>
      </c>
      <c r="H317" s="3">
        <v>960</v>
      </c>
      <c r="I317" s="5">
        <v>0.2</v>
      </c>
      <c r="J317" s="4">
        <v>147.91999999999999</v>
      </c>
      <c r="K317" t="s">
        <v>52</v>
      </c>
      <c r="L317" t="s">
        <v>70</v>
      </c>
      <c r="M317" t="s">
        <v>71</v>
      </c>
      <c r="N317" t="s">
        <v>55</v>
      </c>
      <c r="O317" t="s">
        <v>23</v>
      </c>
    </row>
    <row r="318" spans="1:15" x14ac:dyDescent="0.3">
      <c r="A318" s="2" t="s">
        <v>32</v>
      </c>
      <c r="B318" s="2">
        <v>45662</v>
      </c>
      <c r="C318" t="s">
        <v>33</v>
      </c>
      <c r="D318" t="s">
        <v>34</v>
      </c>
      <c r="E318" t="s">
        <v>35</v>
      </c>
      <c r="F318" t="s">
        <v>35</v>
      </c>
      <c r="G318" s="6">
        <v>2</v>
      </c>
      <c r="H318" s="3">
        <v>2112</v>
      </c>
      <c r="I318" s="5">
        <v>0.12</v>
      </c>
      <c r="J318" s="4">
        <v>321.06</v>
      </c>
      <c r="K318" t="s">
        <v>28</v>
      </c>
      <c r="L318" t="s">
        <v>36</v>
      </c>
      <c r="M318" t="s">
        <v>37</v>
      </c>
      <c r="N318" t="s">
        <v>38</v>
      </c>
      <c r="O318" t="s">
        <v>23</v>
      </c>
    </row>
    <row r="319" spans="1:15" x14ac:dyDescent="0.3">
      <c r="A319" s="2" t="s">
        <v>1105</v>
      </c>
      <c r="B319" s="2">
        <v>45951</v>
      </c>
      <c r="C319" t="s">
        <v>507</v>
      </c>
      <c r="D319" t="s">
        <v>26</v>
      </c>
      <c r="E319" t="s">
        <v>27</v>
      </c>
      <c r="F319" t="s">
        <v>27</v>
      </c>
      <c r="G319" s="6">
        <v>1</v>
      </c>
      <c r="H319" s="3">
        <v>1190</v>
      </c>
      <c r="I319" s="5">
        <v>0.15</v>
      </c>
      <c r="J319" s="4">
        <v>231.8</v>
      </c>
      <c r="K319" t="s">
        <v>19</v>
      </c>
      <c r="L319" t="s">
        <v>36</v>
      </c>
      <c r="M319" t="s">
        <v>101</v>
      </c>
      <c r="N319" t="s">
        <v>38</v>
      </c>
      <c r="O319" t="s">
        <v>23</v>
      </c>
    </row>
    <row r="320" spans="1:15" x14ac:dyDescent="0.3">
      <c r="A320" s="2" t="s">
        <v>864</v>
      </c>
      <c r="B320" s="2">
        <v>45866</v>
      </c>
      <c r="C320" t="s">
        <v>865</v>
      </c>
      <c r="D320" t="s">
        <v>17</v>
      </c>
      <c r="E320" t="s">
        <v>90</v>
      </c>
      <c r="F320" t="s">
        <v>90</v>
      </c>
      <c r="G320" s="6">
        <v>1</v>
      </c>
      <c r="H320" s="3">
        <v>4250</v>
      </c>
      <c r="I320" s="5">
        <v>0.15</v>
      </c>
      <c r="J320" s="4">
        <v>530.03</v>
      </c>
      <c r="K320" t="s">
        <v>52</v>
      </c>
      <c r="L320" t="s">
        <v>60</v>
      </c>
      <c r="M320" t="s">
        <v>61</v>
      </c>
      <c r="N320" t="s">
        <v>38</v>
      </c>
      <c r="O320" t="s">
        <v>23</v>
      </c>
    </row>
    <row r="321" spans="1:15" x14ac:dyDescent="0.3">
      <c r="A321" s="2" t="s">
        <v>1173</v>
      </c>
      <c r="B321" s="2">
        <v>45977</v>
      </c>
      <c r="C321" t="s">
        <v>100</v>
      </c>
      <c r="D321" t="s">
        <v>58</v>
      </c>
      <c r="E321" t="s">
        <v>59</v>
      </c>
      <c r="F321" t="s">
        <v>59</v>
      </c>
      <c r="G321" s="6">
        <v>4</v>
      </c>
      <c r="H321" s="3">
        <v>1458</v>
      </c>
      <c r="I321" s="5">
        <v>0.19</v>
      </c>
      <c r="J321" s="4">
        <v>208.17</v>
      </c>
      <c r="K321" t="s">
        <v>49</v>
      </c>
      <c r="L321" t="s">
        <v>53</v>
      </c>
      <c r="M321" t="s">
        <v>54</v>
      </c>
      <c r="N321" t="s">
        <v>55</v>
      </c>
      <c r="O321" t="s">
        <v>23</v>
      </c>
    </row>
    <row r="322" spans="1:15" x14ac:dyDescent="0.3">
      <c r="A322" s="2" t="s">
        <v>555</v>
      </c>
      <c r="B322" s="2">
        <v>45765</v>
      </c>
      <c r="C322" t="s">
        <v>556</v>
      </c>
      <c r="D322" t="s">
        <v>58</v>
      </c>
      <c r="E322" t="s">
        <v>138</v>
      </c>
      <c r="F322" t="s">
        <v>138</v>
      </c>
      <c r="G322" s="6">
        <v>1</v>
      </c>
      <c r="H322" s="3">
        <v>1936</v>
      </c>
      <c r="I322" s="5">
        <v>0.12</v>
      </c>
      <c r="J322" s="4">
        <v>386.39</v>
      </c>
      <c r="K322" t="s">
        <v>75</v>
      </c>
      <c r="L322" t="s">
        <v>121</v>
      </c>
      <c r="M322" t="s">
        <v>122</v>
      </c>
      <c r="N322" t="s">
        <v>55</v>
      </c>
      <c r="O322" t="s">
        <v>23</v>
      </c>
    </row>
    <row r="323" spans="1:15" x14ac:dyDescent="0.3">
      <c r="A323" s="2" t="s">
        <v>102</v>
      </c>
      <c r="B323" s="2">
        <v>45665</v>
      </c>
      <c r="C323" t="s">
        <v>103</v>
      </c>
      <c r="D323" t="s">
        <v>95</v>
      </c>
      <c r="E323" t="s">
        <v>104</v>
      </c>
      <c r="F323" t="s">
        <v>104</v>
      </c>
      <c r="G323" s="6">
        <v>2</v>
      </c>
      <c r="H323" s="3">
        <v>5810</v>
      </c>
      <c r="I323" s="5">
        <v>0.17</v>
      </c>
      <c r="J323" s="4">
        <v>683.65</v>
      </c>
      <c r="K323" t="s">
        <v>52</v>
      </c>
      <c r="L323" t="s">
        <v>29</v>
      </c>
      <c r="M323" t="s">
        <v>30</v>
      </c>
      <c r="N323" t="s">
        <v>31</v>
      </c>
      <c r="O323" t="s">
        <v>44</v>
      </c>
    </row>
    <row r="324" spans="1:15" x14ac:dyDescent="0.3">
      <c r="A324" s="2" t="s">
        <v>962</v>
      </c>
      <c r="B324" s="2">
        <v>45899</v>
      </c>
      <c r="C324" t="s">
        <v>137</v>
      </c>
      <c r="D324" t="s">
        <v>26</v>
      </c>
      <c r="E324" t="s">
        <v>27</v>
      </c>
      <c r="F324" t="s">
        <v>27</v>
      </c>
      <c r="G324" s="6">
        <v>2</v>
      </c>
      <c r="H324" s="3">
        <v>2128</v>
      </c>
      <c r="I324" s="5">
        <v>0.24</v>
      </c>
      <c r="J324" s="4">
        <v>422.92</v>
      </c>
      <c r="K324" t="s">
        <v>28</v>
      </c>
      <c r="L324" t="s">
        <v>149</v>
      </c>
      <c r="M324" t="s">
        <v>150</v>
      </c>
      <c r="N324" t="s">
        <v>38</v>
      </c>
      <c r="O324" t="s">
        <v>23</v>
      </c>
    </row>
    <row r="325" spans="1:15" x14ac:dyDescent="0.3">
      <c r="A325" s="2" t="s">
        <v>893</v>
      </c>
      <c r="B325" s="2">
        <v>45873</v>
      </c>
      <c r="C325" t="s">
        <v>46</v>
      </c>
      <c r="D325" t="s">
        <v>47</v>
      </c>
      <c r="E325" t="s">
        <v>48</v>
      </c>
      <c r="F325" t="s">
        <v>48</v>
      </c>
      <c r="G325" s="6">
        <v>3</v>
      </c>
      <c r="H325" s="3">
        <v>67500</v>
      </c>
      <c r="I325" s="5">
        <v>0.1</v>
      </c>
      <c r="J325" s="4">
        <v>7198.67</v>
      </c>
      <c r="K325" t="s">
        <v>49</v>
      </c>
      <c r="L325" t="s">
        <v>149</v>
      </c>
      <c r="M325" t="s">
        <v>175</v>
      </c>
      <c r="N325" t="s">
        <v>38</v>
      </c>
      <c r="O325" t="s">
        <v>44</v>
      </c>
    </row>
    <row r="326" spans="1:15" x14ac:dyDescent="0.3">
      <c r="A326" s="2" t="s">
        <v>932</v>
      </c>
      <c r="B326" s="2">
        <v>45885</v>
      </c>
      <c r="C326" t="s">
        <v>244</v>
      </c>
      <c r="D326" t="s">
        <v>17</v>
      </c>
      <c r="E326" t="s">
        <v>85</v>
      </c>
      <c r="F326" t="s">
        <v>85</v>
      </c>
      <c r="G326" s="6">
        <v>2</v>
      </c>
      <c r="H326" s="3">
        <v>11850</v>
      </c>
      <c r="I326" s="5">
        <v>0.21</v>
      </c>
      <c r="J326" s="4">
        <v>1486.81</v>
      </c>
      <c r="K326" t="s">
        <v>52</v>
      </c>
      <c r="L326" t="s">
        <v>159</v>
      </c>
      <c r="M326" t="s">
        <v>160</v>
      </c>
      <c r="N326" t="s">
        <v>38</v>
      </c>
      <c r="O326" t="s">
        <v>44</v>
      </c>
    </row>
    <row r="327" spans="1:15" x14ac:dyDescent="0.3">
      <c r="A327" s="2" t="s">
        <v>1180</v>
      </c>
      <c r="B327" s="2">
        <v>45980</v>
      </c>
      <c r="C327" t="s">
        <v>269</v>
      </c>
      <c r="D327" t="s">
        <v>34</v>
      </c>
      <c r="E327" t="s">
        <v>35</v>
      </c>
      <c r="F327" t="s">
        <v>35</v>
      </c>
      <c r="G327" s="6">
        <v>2</v>
      </c>
      <c r="H327" s="3">
        <v>1944</v>
      </c>
      <c r="I327" s="5">
        <v>0.19</v>
      </c>
      <c r="J327" s="4">
        <v>337.79</v>
      </c>
      <c r="K327" t="s">
        <v>49</v>
      </c>
      <c r="L327" t="s">
        <v>134</v>
      </c>
      <c r="M327" t="s">
        <v>135</v>
      </c>
      <c r="N327" t="s">
        <v>55</v>
      </c>
      <c r="O327" t="s">
        <v>23</v>
      </c>
    </row>
    <row r="328" spans="1:15" x14ac:dyDescent="0.3">
      <c r="A328" s="2" t="s">
        <v>1044</v>
      </c>
      <c r="B328" s="2">
        <v>45931</v>
      </c>
      <c r="C328" t="s">
        <v>335</v>
      </c>
      <c r="D328" t="s">
        <v>58</v>
      </c>
      <c r="E328" t="s">
        <v>138</v>
      </c>
      <c r="F328" t="s">
        <v>138</v>
      </c>
      <c r="G328" s="6">
        <v>2</v>
      </c>
      <c r="H328" s="3">
        <v>4004</v>
      </c>
      <c r="I328" s="5">
        <v>0.09</v>
      </c>
      <c r="J328" s="4">
        <v>801.82</v>
      </c>
      <c r="K328" t="s">
        <v>75</v>
      </c>
      <c r="L328" t="s">
        <v>36</v>
      </c>
      <c r="M328" t="s">
        <v>128</v>
      </c>
      <c r="N328" t="s">
        <v>38</v>
      </c>
      <c r="O328" t="s">
        <v>44</v>
      </c>
    </row>
    <row r="329" spans="1:15" x14ac:dyDescent="0.3">
      <c r="A329" s="2" t="s">
        <v>578</v>
      </c>
      <c r="B329" s="2">
        <v>45773</v>
      </c>
      <c r="C329" t="s">
        <v>572</v>
      </c>
      <c r="D329" t="s">
        <v>26</v>
      </c>
      <c r="E329" t="s">
        <v>118</v>
      </c>
      <c r="F329" t="s">
        <v>118</v>
      </c>
      <c r="G329" s="6">
        <v>5</v>
      </c>
      <c r="H329" s="3">
        <v>7200</v>
      </c>
      <c r="I329" s="5">
        <v>0.2</v>
      </c>
      <c r="J329" s="4">
        <v>1414.35</v>
      </c>
      <c r="K329" t="s">
        <v>75</v>
      </c>
      <c r="L329" t="s">
        <v>149</v>
      </c>
      <c r="M329" t="s">
        <v>175</v>
      </c>
      <c r="N329" t="s">
        <v>38</v>
      </c>
      <c r="O329" t="s">
        <v>44</v>
      </c>
    </row>
    <row r="330" spans="1:15" x14ac:dyDescent="0.3">
      <c r="A330" s="2" t="s">
        <v>1274</v>
      </c>
      <c r="B330" s="2">
        <v>46011</v>
      </c>
      <c r="C330" t="s">
        <v>766</v>
      </c>
      <c r="D330" t="s">
        <v>58</v>
      </c>
      <c r="E330" t="s">
        <v>138</v>
      </c>
      <c r="F330" t="s">
        <v>138</v>
      </c>
      <c r="G330" s="6">
        <v>2</v>
      </c>
      <c r="H330" s="3">
        <v>3960</v>
      </c>
      <c r="I330" s="5">
        <v>0.1</v>
      </c>
      <c r="J330" s="4">
        <v>829.96</v>
      </c>
      <c r="K330" t="s">
        <v>28</v>
      </c>
      <c r="L330" t="s">
        <v>159</v>
      </c>
      <c r="M330" t="s">
        <v>160</v>
      </c>
      <c r="N330" t="s">
        <v>38</v>
      </c>
      <c r="O330" t="s">
        <v>44</v>
      </c>
    </row>
    <row r="331" spans="1:15" x14ac:dyDescent="0.3">
      <c r="A331" s="2" t="s">
        <v>561</v>
      </c>
      <c r="B331" s="2">
        <v>45766</v>
      </c>
      <c r="C331" t="s">
        <v>562</v>
      </c>
      <c r="D331" t="s">
        <v>47</v>
      </c>
      <c r="E331" t="s">
        <v>368</v>
      </c>
      <c r="F331" t="s">
        <v>368</v>
      </c>
      <c r="G331" s="6">
        <v>3</v>
      </c>
      <c r="H331" s="3">
        <v>4266</v>
      </c>
      <c r="I331" s="5">
        <v>0.21</v>
      </c>
      <c r="J331" s="4">
        <v>511.34</v>
      </c>
      <c r="K331" t="s">
        <v>65</v>
      </c>
      <c r="L331" t="s">
        <v>97</v>
      </c>
      <c r="M331" t="s">
        <v>163</v>
      </c>
      <c r="N331" t="s">
        <v>31</v>
      </c>
      <c r="O331" t="s">
        <v>23</v>
      </c>
    </row>
    <row r="332" spans="1:15" x14ac:dyDescent="0.3">
      <c r="A332" s="2" t="s">
        <v>276</v>
      </c>
      <c r="B332" s="2">
        <v>45698</v>
      </c>
      <c r="C332" t="s">
        <v>137</v>
      </c>
      <c r="D332" t="s">
        <v>34</v>
      </c>
      <c r="E332" t="s">
        <v>143</v>
      </c>
      <c r="F332" t="s">
        <v>143</v>
      </c>
      <c r="G332" s="6">
        <v>3</v>
      </c>
      <c r="H332" s="3">
        <v>1920</v>
      </c>
      <c r="I332" s="5">
        <v>0.2</v>
      </c>
      <c r="J332" s="4">
        <v>330.41</v>
      </c>
      <c r="K332" t="s">
        <v>75</v>
      </c>
      <c r="L332" t="s">
        <v>149</v>
      </c>
      <c r="M332" t="s">
        <v>150</v>
      </c>
      <c r="N332" t="s">
        <v>38</v>
      </c>
      <c r="O332" t="s">
        <v>44</v>
      </c>
    </row>
    <row r="333" spans="1:15" x14ac:dyDescent="0.3">
      <c r="A333" s="2" t="s">
        <v>825</v>
      </c>
      <c r="B333" s="2">
        <v>45852</v>
      </c>
      <c r="C333" t="s">
        <v>603</v>
      </c>
      <c r="D333" t="s">
        <v>26</v>
      </c>
      <c r="E333" t="s">
        <v>188</v>
      </c>
      <c r="F333" t="s">
        <v>188</v>
      </c>
      <c r="G333" s="6">
        <v>3</v>
      </c>
      <c r="H333" s="3">
        <v>7650</v>
      </c>
      <c r="I333" s="5">
        <v>0.15</v>
      </c>
      <c r="J333" s="4">
        <v>1456.06</v>
      </c>
      <c r="K333" t="s">
        <v>49</v>
      </c>
      <c r="L333" t="s">
        <v>149</v>
      </c>
      <c r="M333" t="s">
        <v>150</v>
      </c>
      <c r="N333" t="s">
        <v>38</v>
      </c>
      <c r="O333" t="s">
        <v>23</v>
      </c>
    </row>
    <row r="334" spans="1:15" x14ac:dyDescent="0.3">
      <c r="A334" s="2" t="s">
        <v>781</v>
      </c>
      <c r="B334" s="2">
        <v>45838</v>
      </c>
      <c r="C334" t="s">
        <v>196</v>
      </c>
      <c r="D334" t="s">
        <v>26</v>
      </c>
      <c r="E334" t="s">
        <v>118</v>
      </c>
      <c r="F334" t="s">
        <v>118</v>
      </c>
      <c r="G334" s="6">
        <v>2</v>
      </c>
      <c r="H334" s="3">
        <v>2844</v>
      </c>
      <c r="I334" s="5">
        <v>0.21</v>
      </c>
      <c r="J334" s="4">
        <v>354.96</v>
      </c>
      <c r="K334" t="s">
        <v>52</v>
      </c>
      <c r="L334" t="s">
        <v>208</v>
      </c>
      <c r="M334" t="s">
        <v>209</v>
      </c>
      <c r="N334" t="s">
        <v>31</v>
      </c>
      <c r="O334" t="s">
        <v>23</v>
      </c>
    </row>
    <row r="335" spans="1:15" x14ac:dyDescent="0.3">
      <c r="A335" s="2" t="s">
        <v>1157</v>
      </c>
      <c r="B335" s="2">
        <v>45970</v>
      </c>
      <c r="C335" t="s">
        <v>359</v>
      </c>
      <c r="D335" t="s">
        <v>17</v>
      </c>
      <c r="E335" t="s">
        <v>110</v>
      </c>
      <c r="F335" t="s">
        <v>110</v>
      </c>
      <c r="G335" s="6">
        <v>3</v>
      </c>
      <c r="H335" s="3">
        <v>16965</v>
      </c>
      <c r="I335" s="5">
        <v>0.13</v>
      </c>
      <c r="J335" s="4">
        <v>1601.84</v>
      </c>
      <c r="K335" t="s">
        <v>49</v>
      </c>
      <c r="L335" t="s">
        <v>86</v>
      </c>
      <c r="M335" t="s">
        <v>87</v>
      </c>
      <c r="N335" t="s">
        <v>38</v>
      </c>
      <c r="O335" t="s">
        <v>44</v>
      </c>
    </row>
    <row r="336" spans="1:15" x14ac:dyDescent="0.3">
      <c r="A336" s="2" t="s">
        <v>1207</v>
      </c>
      <c r="B336" s="2">
        <v>45989</v>
      </c>
      <c r="C336" t="s">
        <v>496</v>
      </c>
      <c r="D336" t="s">
        <v>68</v>
      </c>
      <c r="E336" t="s">
        <v>69</v>
      </c>
      <c r="F336" t="s">
        <v>69</v>
      </c>
      <c r="G336" s="6">
        <v>4</v>
      </c>
      <c r="H336" s="3">
        <v>1540</v>
      </c>
      <c r="I336" s="5">
        <v>0.23</v>
      </c>
      <c r="J336" s="4">
        <v>351.64</v>
      </c>
      <c r="K336" t="s">
        <v>19</v>
      </c>
      <c r="L336" t="s">
        <v>53</v>
      </c>
      <c r="M336" t="s">
        <v>54</v>
      </c>
      <c r="N336" t="s">
        <v>55</v>
      </c>
      <c r="O336" t="s">
        <v>23</v>
      </c>
    </row>
    <row r="337" spans="1:15" x14ac:dyDescent="0.3">
      <c r="A337" s="2" t="s">
        <v>851</v>
      </c>
      <c r="B337" s="2">
        <v>45863</v>
      </c>
      <c r="C337" t="s">
        <v>540</v>
      </c>
      <c r="D337" t="s">
        <v>68</v>
      </c>
      <c r="E337" t="s">
        <v>69</v>
      </c>
      <c r="F337" t="s">
        <v>69</v>
      </c>
      <c r="G337" s="6">
        <v>3</v>
      </c>
      <c r="H337" s="3">
        <v>1110</v>
      </c>
      <c r="I337" s="5">
        <v>0.26</v>
      </c>
      <c r="J337" s="4">
        <v>201.16</v>
      </c>
      <c r="K337" t="s">
        <v>52</v>
      </c>
      <c r="L337" t="s">
        <v>170</v>
      </c>
      <c r="M337" t="s">
        <v>171</v>
      </c>
      <c r="N337" t="s">
        <v>31</v>
      </c>
      <c r="O337" t="s">
        <v>44</v>
      </c>
    </row>
    <row r="338" spans="1:15" x14ac:dyDescent="0.3">
      <c r="A338" s="2" t="s">
        <v>236</v>
      </c>
      <c r="B338" s="2">
        <v>45689</v>
      </c>
      <c r="C338" t="s">
        <v>169</v>
      </c>
      <c r="D338" t="s">
        <v>68</v>
      </c>
      <c r="E338" t="s">
        <v>237</v>
      </c>
      <c r="F338" t="s">
        <v>237</v>
      </c>
      <c r="G338" s="6">
        <v>4</v>
      </c>
      <c r="H338" s="3">
        <v>2772</v>
      </c>
      <c r="I338" s="5">
        <v>0.23</v>
      </c>
      <c r="J338" s="4">
        <v>402.26</v>
      </c>
      <c r="K338" t="s">
        <v>65</v>
      </c>
      <c r="L338" t="s">
        <v>134</v>
      </c>
      <c r="M338" t="s">
        <v>135</v>
      </c>
      <c r="N338" t="s">
        <v>55</v>
      </c>
      <c r="O338" t="s">
        <v>23</v>
      </c>
    </row>
    <row r="339" spans="1:15" x14ac:dyDescent="0.3">
      <c r="A339" s="2" t="s">
        <v>593</v>
      </c>
      <c r="B339" s="2">
        <v>45780</v>
      </c>
      <c r="C339" t="s">
        <v>211</v>
      </c>
      <c r="D339" t="s">
        <v>26</v>
      </c>
      <c r="E339" t="s">
        <v>64</v>
      </c>
      <c r="F339" t="s">
        <v>64</v>
      </c>
      <c r="G339" s="6">
        <v>2</v>
      </c>
      <c r="H339" s="3">
        <v>1404</v>
      </c>
      <c r="I339" s="5">
        <v>0.22</v>
      </c>
      <c r="J339" s="4">
        <v>247.24</v>
      </c>
      <c r="K339" t="s">
        <v>65</v>
      </c>
      <c r="L339" t="s">
        <v>159</v>
      </c>
      <c r="M339" t="s">
        <v>160</v>
      </c>
      <c r="N339" t="s">
        <v>38</v>
      </c>
      <c r="O339" t="s">
        <v>44</v>
      </c>
    </row>
    <row r="340" spans="1:15" x14ac:dyDescent="0.3">
      <c r="A340" s="2" t="s">
        <v>822</v>
      </c>
      <c r="B340" s="2">
        <v>45851</v>
      </c>
      <c r="C340" t="s">
        <v>439</v>
      </c>
      <c r="D340" t="s">
        <v>34</v>
      </c>
      <c r="E340" t="s">
        <v>107</v>
      </c>
      <c r="F340" t="s">
        <v>107</v>
      </c>
      <c r="G340" s="6">
        <v>3</v>
      </c>
      <c r="H340" s="3">
        <v>11205</v>
      </c>
      <c r="I340" s="5">
        <v>0.17</v>
      </c>
      <c r="J340" s="4">
        <v>1435.86</v>
      </c>
      <c r="K340" t="s">
        <v>28</v>
      </c>
      <c r="L340" t="s">
        <v>29</v>
      </c>
      <c r="M340" t="s">
        <v>30</v>
      </c>
      <c r="N340" t="s">
        <v>31</v>
      </c>
      <c r="O340" t="s">
        <v>44</v>
      </c>
    </row>
    <row r="341" spans="1:15" x14ac:dyDescent="0.3">
      <c r="A341" s="2" t="s">
        <v>993</v>
      </c>
      <c r="B341" s="2">
        <v>45908</v>
      </c>
      <c r="C341" t="s">
        <v>33</v>
      </c>
      <c r="D341" t="s">
        <v>58</v>
      </c>
      <c r="E341" t="s">
        <v>138</v>
      </c>
      <c r="F341" t="s">
        <v>138</v>
      </c>
      <c r="G341" s="6">
        <v>4</v>
      </c>
      <c r="H341" s="3">
        <v>7920</v>
      </c>
      <c r="I341" s="5">
        <v>0.1</v>
      </c>
      <c r="J341" s="4">
        <v>1025.2</v>
      </c>
      <c r="K341" t="s">
        <v>28</v>
      </c>
      <c r="L341" t="s">
        <v>86</v>
      </c>
      <c r="M341" t="s">
        <v>87</v>
      </c>
      <c r="N341" t="s">
        <v>38</v>
      </c>
      <c r="O341" t="s">
        <v>44</v>
      </c>
    </row>
    <row r="342" spans="1:15" x14ac:dyDescent="0.3">
      <c r="A342" s="2" t="s">
        <v>440</v>
      </c>
      <c r="B342" s="2">
        <v>45733</v>
      </c>
      <c r="C342" t="s">
        <v>441</v>
      </c>
      <c r="D342" t="s">
        <v>47</v>
      </c>
      <c r="E342" t="s">
        <v>194</v>
      </c>
      <c r="F342" t="s">
        <v>194</v>
      </c>
      <c r="G342" s="6">
        <v>1</v>
      </c>
      <c r="H342" s="3">
        <v>51700</v>
      </c>
      <c r="I342" s="5">
        <v>0.06</v>
      </c>
      <c r="J342" s="4">
        <v>5703.67</v>
      </c>
      <c r="K342" t="s">
        <v>75</v>
      </c>
      <c r="L342" t="s">
        <v>149</v>
      </c>
      <c r="M342" t="s">
        <v>150</v>
      </c>
      <c r="N342" t="s">
        <v>38</v>
      </c>
      <c r="O342" t="s">
        <v>44</v>
      </c>
    </row>
    <row r="343" spans="1:15" x14ac:dyDescent="0.3">
      <c r="A343" s="2" t="s">
        <v>451</v>
      </c>
      <c r="B343" s="2">
        <v>45735</v>
      </c>
      <c r="C343" t="s">
        <v>402</v>
      </c>
      <c r="D343" t="s">
        <v>95</v>
      </c>
      <c r="E343" t="s">
        <v>96</v>
      </c>
      <c r="F343" t="s">
        <v>96</v>
      </c>
      <c r="G343" s="6">
        <v>1</v>
      </c>
      <c r="H343" s="3">
        <v>765</v>
      </c>
      <c r="I343" s="5">
        <v>0.15</v>
      </c>
      <c r="J343" s="4">
        <v>130.87</v>
      </c>
      <c r="K343" t="s">
        <v>19</v>
      </c>
      <c r="L343" t="s">
        <v>159</v>
      </c>
      <c r="M343" t="s">
        <v>160</v>
      </c>
      <c r="N343" t="s">
        <v>38</v>
      </c>
      <c r="O343" t="s">
        <v>44</v>
      </c>
    </row>
    <row r="344" spans="1:15" x14ac:dyDescent="0.3">
      <c r="A344" s="2" t="s">
        <v>747</v>
      </c>
      <c r="B344" s="2">
        <v>45825</v>
      </c>
      <c r="C344" t="s">
        <v>748</v>
      </c>
      <c r="D344" t="s">
        <v>34</v>
      </c>
      <c r="E344" t="s">
        <v>143</v>
      </c>
      <c r="F344" t="s">
        <v>143</v>
      </c>
      <c r="G344" s="6">
        <v>2</v>
      </c>
      <c r="H344" s="3">
        <v>1184</v>
      </c>
      <c r="I344" s="5">
        <v>0.26</v>
      </c>
      <c r="J344" s="4">
        <v>214.3</v>
      </c>
      <c r="K344" t="s">
        <v>28</v>
      </c>
      <c r="L344" t="s">
        <v>60</v>
      </c>
      <c r="M344" t="s">
        <v>61</v>
      </c>
      <c r="N344" t="s">
        <v>38</v>
      </c>
      <c r="O344" t="s">
        <v>44</v>
      </c>
    </row>
    <row r="345" spans="1:15" x14ac:dyDescent="0.3">
      <c r="A345" s="2" t="s">
        <v>485</v>
      </c>
      <c r="B345" s="2">
        <v>45746</v>
      </c>
      <c r="C345" t="s">
        <v>486</v>
      </c>
      <c r="D345" t="s">
        <v>34</v>
      </c>
      <c r="E345" t="s">
        <v>35</v>
      </c>
      <c r="F345" t="s">
        <v>35</v>
      </c>
      <c r="G345" s="6">
        <v>2</v>
      </c>
      <c r="H345" s="3">
        <v>2088</v>
      </c>
      <c r="I345" s="5">
        <v>0.13</v>
      </c>
      <c r="J345" s="4">
        <v>407.94</v>
      </c>
      <c r="K345" t="s">
        <v>52</v>
      </c>
      <c r="L345" t="s">
        <v>159</v>
      </c>
      <c r="M345" t="s">
        <v>160</v>
      </c>
      <c r="N345" t="s">
        <v>38</v>
      </c>
      <c r="O345" t="s">
        <v>23</v>
      </c>
    </row>
    <row r="346" spans="1:15" x14ac:dyDescent="0.3">
      <c r="A346" s="2" t="s">
        <v>855</v>
      </c>
      <c r="B346" s="2">
        <v>45863</v>
      </c>
      <c r="C346" t="s">
        <v>314</v>
      </c>
      <c r="D346" t="s">
        <v>47</v>
      </c>
      <c r="E346" t="s">
        <v>74</v>
      </c>
      <c r="F346" t="s">
        <v>74</v>
      </c>
      <c r="G346" s="6">
        <v>1</v>
      </c>
      <c r="H346" s="3">
        <v>16200</v>
      </c>
      <c r="I346" s="5">
        <v>0.1</v>
      </c>
      <c r="J346" s="4">
        <v>1522.9</v>
      </c>
      <c r="K346" t="s">
        <v>28</v>
      </c>
      <c r="L346" t="s">
        <v>97</v>
      </c>
      <c r="M346" t="s">
        <v>98</v>
      </c>
      <c r="N346" t="s">
        <v>31</v>
      </c>
      <c r="O346" t="s">
        <v>44</v>
      </c>
    </row>
    <row r="347" spans="1:15" x14ac:dyDescent="0.3">
      <c r="A347" s="2" t="s">
        <v>513</v>
      </c>
      <c r="B347" s="2">
        <v>45754</v>
      </c>
      <c r="C347" t="s">
        <v>333</v>
      </c>
      <c r="D347" t="s">
        <v>47</v>
      </c>
      <c r="E347" t="s">
        <v>224</v>
      </c>
      <c r="F347" t="s">
        <v>224</v>
      </c>
      <c r="G347" s="6">
        <v>4</v>
      </c>
      <c r="H347" s="3">
        <v>17200</v>
      </c>
      <c r="I347" s="5">
        <v>0.14000000000000001</v>
      </c>
      <c r="J347" s="4">
        <v>2643.69</v>
      </c>
      <c r="K347" t="s">
        <v>19</v>
      </c>
      <c r="L347" t="s">
        <v>36</v>
      </c>
      <c r="M347" t="s">
        <v>128</v>
      </c>
      <c r="N347" t="s">
        <v>38</v>
      </c>
      <c r="O347" t="s">
        <v>23</v>
      </c>
    </row>
    <row r="348" spans="1:15" x14ac:dyDescent="0.3">
      <c r="A348" s="2" t="s">
        <v>166</v>
      </c>
      <c r="B348" s="2">
        <v>45676</v>
      </c>
      <c r="C348" t="s">
        <v>167</v>
      </c>
      <c r="D348" t="s">
        <v>26</v>
      </c>
      <c r="E348" t="s">
        <v>27</v>
      </c>
      <c r="F348" t="s">
        <v>27</v>
      </c>
      <c r="G348" s="6">
        <v>2</v>
      </c>
      <c r="H348" s="3">
        <v>2212</v>
      </c>
      <c r="I348" s="5">
        <v>0.21</v>
      </c>
      <c r="J348" s="4">
        <v>418.04</v>
      </c>
      <c r="K348" t="s">
        <v>19</v>
      </c>
      <c r="L348" t="s">
        <v>86</v>
      </c>
      <c r="M348" t="s">
        <v>87</v>
      </c>
      <c r="N348" t="s">
        <v>38</v>
      </c>
      <c r="O348" t="s">
        <v>44</v>
      </c>
    </row>
    <row r="349" spans="1:15" x14ac:dyDescent="0.3">
      <c r="A349" s="2" t="s">
        <v>1233</v>
      </c>
      <c r="B349" s="2">
        <v>45995</v>
      </c>
      <c r="C349" t="s">
        <v>137</v>
      </c>
      <c r="D349" t="s">
        <v>17</v>
      </c>
      <c r="E349" t="s">
        <v>110</v>
      </c>
      <c r="F349" t="s">
        <v>110</v>
      </c>
      <c r="G349" s="6">
        <v>4</v>
      </c>
      <c r="H349" s="3">
        <v>23140</v>
      </c>
      <c r="I349" s="5">
        <v>0.11</v>
      </c>
      <c r="J349" s="4">
        <v>2821.62</v>
      </c>
      <c r="K349" t="s">
        <v>75</v>
      </c>
      <c r="L349" t="s">
        <v>60</v>
      </c>
      <c r="M349" t="s">
        <v>61</v>
      </c>
      <c r="N349" t="s">
        <v>38</v>
      </c>
      <c r="O349" t="s">
        <v>23</v>
      </c>
    </row>
    <row r="350" spans="1:15" x14ac:dyDescent="0.3">
      <c r="A350" s="2" t="s">
        <v>468</v>
      </c>
      <c r="B350" s="2">
        <v>45739</v>
      </c>
      <c r="C350" t="s">
        <v>57</v>
      </c>
      <c r="D350" t="s">
        <v>58</v>
      </c>
      <c r="E350" t="s">
        <v>59</v>
      </c>
      <c r="F350" t="s">
        <v>59</v>
      </c>
      <c r="G350" s="6">
        <v>2</v>
      </c>
      <c r="H350" s="3">
        <v>774</v>
      </c>
      <c r="I350" s="5">
        <v>0.14000000000000001</v>
      </c>
      <c r="J350" s="4">
        <v>121.33</v>
      </c>
      <c r="K350" t="s">
        <v>49</v>
      </c>
      <c r="L350" t="s">
        <v>42</v>
      </c>
      <c r="M350" t="s">
        <v>43</v>
      </c>
      <c r="N350" t="s">
        <v>22</v>
      </c>
      <c r="O350" t="s">
        <v>44</v>
      </c>
    </row>
    <row r="351" spans="1:15" x14ac:dyDescent="0.3">
      <c r="A351" s="2" t="s">
        <v>1250</v>
      </c>
      <c r="B351" s="2">
        <v>46002</v>
      </c>
      <c r="C351" t="s">
        <v>331</v>
      </c>
      <c r="D351" t="s">
        <v>68</v>
      </c>
      <c r="E351" t="s">
        <v>120</v>
      </c>
      <c r="F351" t="s">
        <v>120</v>
      </c>
      <c r="G351" s="6">
        <v>1</v>
      </c>
      <c r="H351" s="3">
        <v>525</v>
      </c>
      <c r="I351" s="5">
        <v>0.25</v>
      </c>
      <c r="J351" s="4">
        <v>82.87</v>
      </c>
      <c r="K351" t="s">
        <v>49</v>
      </c>
      <c r="L351" t="s">
        <v>97</v>
      </c>
      <c r="M351" t="s">
        <v>98</v>
      </c>
      <c r="N351" t="s">
        <v>31</v>
      </c>
      <c r="O351" t="s">
        <v>23</v>
      </c>
    </row>
    <row r="352" spans="1:15" x14ac:dyDescent="0.3">
      <c r="A352" s="2" t="s">
        <v>177</v>
      </c>
      <c r="B352" s="2">
        <v>45677</v>
      </c>
      <c r="C352" t="s">
        <v>147</v>
      </c>
      <c r="D352" t="s">
        <v>58</v>
      </c>
      <c r="E352" t="s">
        <v>178</v>
      </c>
      <c r="F352" t="s">
        <v>178</v>
      </c>
      <c r="G352" s="6">
        <v>4</v>
      </c>
      <c r="H352" s="3">
        <v>2106</v>
      </c>
      <c r="I352" s="5">
        <v>0.19</v>
      </c>
      <c r="J352" s="4">
        <v>315.23</v>
      </c>
      <c r="K352" t="s">
        <v>49</v>
      </c>
      <c r="L352" t="s">
        <v>86</v>
      </c>
      <c r="M352" t="s">
        <v>87</v>
      </c>
      <c r="N352" t="s">
        <v>38</v>
      </c>
      <c r="O352" t="s">
        <v>23</v>
      </c>
    </row>
    <row r="353" spans="1:15" x14ac:dyDescent="0.3">
      <c r="A353" s="2" t="s">
        <v>1181</v>
      </c>
      <c r="B353" s="2">
        <v>45980</v>
      </c>
      <c r="C353" t="s">
        <v>233</v>
      </c>
      <c r="D353" t="s">
        <v>47</v>
      </c>
      <c r="E353" t="s">
        <v>82</v>
      </c>
      <c r="F353" t="s">
        <v>82</v>
      </c>
      <c r="G353" s="6">
        <v>5</v>
      </c>
      <c r="H353" s="3">
        <v>13825</v>
      </c>
      <c r="I353" s="5">
        <v>0.21</v>
      </c>
      <c r="J353" s="4">
        <v>1465.96</v>
      </c>
      <c r="K353" t="s">
        <v>52</v>
      </c>
      <c r="L353" t="s">
        <v>60</v>
      </c>
      <c r="M353" t="s">
        <v>61</v>
      </c>
      <c r="N353" t="s">
        <v>38</v>
      </c>
      <c r="O353" t="s">
        <v>44</v>
      </c>
    </row>
    <row r="354" spans="1:15" x14ac:dyDescent="0.3">
      <c r="A354" s="2" t="s">
        <v>388</v>
      </c>
      <c r="B354" s="2">
        <v>45722</v>
      </c>
      <c r="C354" t="s">
        <v>81</v>
      </c>
      <c r="D354" t="s">
        <v>34</v>
      </c>
      <c r="E354" t="s">
        <v>143</v>
      </c>
      <c r="F354" t="s">
        <v>143</v>
      </c>
      <c r="G354" s="6">
        <v>5</v>
      </c>
      <c r="H354" s="3">
        <v>2880</v>
      </c>
      <c r="I354" s="5">
        <v>0.28000000000000003</v>
      </c>
      <c r="J354" s="4">
        <v>448.02</v>
      </c>
      <c r="K354" t="s">
        <v>28</v>
      </c>
      <c r="L354" t="s">
        <v>159</v>
      </c>
      <c r="M354" t="s">
        <v>160</v>
      </c>
      <c r="N354" t="s">
        <v>38</v>
      </c>
      <c r="O354" t="s">
        <v>44</v>
      </c>
    </row>
    <row r="355" spans="1:15" x14ac:dyDescent="0.3">
      <c r="A355" s="2" t="s">
        <v>205</v>
      </c>
      <c r="B355" s="2">
        <v>45682</v>
      </c>
      <c r="C355" t="s">
        <v>81</v>
      </c>
      <c r="D355" t="s">
        <v>58</v>
      </c>
      <c r="E355" t="s">
        <v>77</v>
      </c>
      <c r="F355" t="s">
        <v>77</v>
      </c>
      <c r="G355" s="6">
        <v>1</v>
      </c>
      <c r="H355" s="3">
        <v>1512</v>
      </c>
      <c r="I355" s="5">
        <v>0.16</v>
      </c>
      <c r="J355" s="4">
        <v>277.61</v>
      </c>
      <c r="K355" t="s">
        <v>52</v>
      </c>
      <c r="L355" t="s">
        <v>134</v>
      </c>
      <c r="M355" t="s">
        <v>135</v>
      </c>
      <c r="N355" t="s">
        <v>55</v>
      </c>
      <c r="O355" t="s">
        <v>23</v>
      </c>
    </row>
    <row r="356" spans="1:15" x14ac:dyDescent="0.3">
      <c r="A356" s="2" t="s">
        <v>649</v>
      </c>
      <c r="B356" s="2">
        <v>45795</v>
      </c>
      <c r="C356" t="s">
        <v>386</v>
      </c>
      <c r="D356" t="s">
        <v>68</v>
      </c>
      <c r="E356" t="s">
        <v>69</v>
      </c>
      <c r="F356" t="s">
        <v>69</v>
      </c>
      <c r="G356" s="6">
        <v>4</v>
      </c>
      <c r="H356" s="3">
        <v>1540</v>
      </c>
      <c r="I356" s="5">
        <v>0.23</v>
      </c>
      <c r="J356" s="4">
        <v>324.19</v>
      </c>
      <c r="K356" t="s">
        <v>19</v>
      </c>
      <c r="L356" t="s">
        <v>60</v>
      </c>
      <c r="M356" t="s">
        <v>61</v>
      </c>
      <c r="N356" t="s">
        <v>38</v>
      </c>
      <c r="O356" t="s">
        <v>44</v>
      </c>
    </row>
    <row r="357" spans="1:15" x14ac:dyDescent="0.3">
      <c r="A357" s="2" t="s">
        <v>1072</v>
      </c>
      <c r="B357" s="2">
        <v>45940</v>
      </c>
      <c r="C357" t="s">
        <v>331</v>
      </c>
      <c r="D357" t="s">
        <v>68</v>
      </c>
      <c r="E357" t="s">
        <v>120</v>
      </c>
      <c r="F357" t="s">
        <v>120</v>
      </c>
      <c r="G357" s="6">
        <v>2</v>
      </c>
      <c r="H357" s="3">
        <v>1078</v>
      </c>
      <c r="I357" s="5">
        <v>0.23</v>
      </c>
      <c r="J357" s="4">
        <v>209.93</v>
      </c>
      <c r="K357" t="s">
        <v>65</v>
      </c>
      <c r="L357" t="s">
        <v>70</v>
      </c>
      <c r="M357" t="s">
        <v>71</v>
      </c>
      <c r="N357" t="s">
        <v>55</v>
      </c>
      <c r="O357" t="s">
        <v>23</v>
      </c>
    </row>
    <row r="358" spans="1:15" x14ac:dyDescent="0.3">
      <c r="A358" s="2" t="s">
        <v>986</v>
      </c>
      <c r="B358" s="2">
        <v>45905</v>
      </c>
      <c r="C358" t="s">
        <v>435</v>
      </c>
      <c r="D358" t="s">
        <v>58</v>
      </c>
      <c r="E358" t="s">
        <v>77</v>
      </c>
      <c r="F358" t="s">
        <v>77</v>
      </c>
      <c r="G358" s="6">
        <v>1</v>
      </c>
      <c r="H358" s="3">
        <v>1386</v>
      </c>
      <c r="I358" s="5">
        <v>0.23</v>
      </c>
      <c r="J358" s="4">
        <v>282.04000000000002</v>
      </c>
      <c r="K358" t="s">
        <v>65</v>
      </c>
      <c r="L358" t="s">
        <v>53</v>
      </c>
      <c r="M358" t="s">
        <v>54</v>
      </c>
      <c r="N358" t="s">
        <v>55</v>
      </c>
      <c r="O358" t="s">
        <v>23</v>
      </c>
    </row>
    <row r="359" spans="1:15" x14ac:dyDescent="0.3">
      <c r="A359" s="2" t="s">
        <v>976</v>
      </c>
      <c r="B359" s="2">
        <v>45902</v>
      </c>
      <c r="C359" t="s">
        <v>314</v>
      </c>
      <c r="D359" t="s">
        <v>26</v>
      </c>
      <c r="E359" t="s">
        <v>118</v>
      </c>
      <c r="F359" t="s">
        <v>118</v>
      </c>
      <c r="G359" s="6">
        <v>2</v>
      </c>
      <c r="H359" s="3">
        <v>3024</v>
      </c>
      <c r="I359" s="5">
        <v>0.16</v>
      </c>
      <c r="J359" s="4">
        <v>478.51</v>
      </c>
      <c r="K359" t="s">
        <v>75</v>
      </c>
      <c r="L359" t="s">
        <v>121</v>
      </c>
      <c r="M359" t="s">
        <v>122</v>
      </c>
      <c r="N359" t="s">
        <v>55</v>
      </c>
      <c r="O359" t="s">
        <v>44</v>
      </c>
    </row>
    <row r="360" spans="1:15" x14ac:dyDescent="0.3">
      <c r="A360" s="2" t="s">
        <v>1169</v>
      </c>
      <c r="B360" s="2">
        <v>45975</v>
      </c>
      <c r="C360" t="s">
        <v>383</v>
      </c>
      <c r="D360" t="s">
        <v>95</v>
      </c>
      <c r="E360" t="s">
        <v>96</v>
      </c>
      <c r="F360" t="s">
        <v>96</v>
      </c>
      <c r="G360" s="6">
        <v>1</v>
      </c>
      <c r="H360" s="3">
        <v>765</v>
      </c>
      <c r="I360" s="5">
        <v>0.15</v>
      </c>
      <c r="J360" s="4">
        <v>116.06</v>
      </c>
      <c r="K360" t="s">
        <v>19</v>
      </c>
      <c r="L360" t="s">
        <v>53</v>
      </c>
      <c r="M360" t="s">
        <v>54</v>
      </c>
      <c r="N360" t="s">
        <v>55</v>
      </c>
      <c r="O360" t="s">
        <v>44</v>
      </c>
    </row>
    <row r="361" spans="1:15" x14ac:dyDescent="0.3">
      <c r="A361" s="2" t="s">
        <v>762</v>
      </c>
      <c r="B361" s="2">
        <v>45831</v>
      </c>
      <c r="C361" t="s">
        <v>319</v>
      </c>
      <c r="D361" t="s">
        <v>47</v>
      </c>
      <c r="E361" t="s">
        <v>74</v>
      </c>
      <c r="F361" t="s">
        <v>74</v>
      </c>
      <c r="G361" s="6">
        <v>5</v>
      </c>
      <c r="H361" s="3">
        <v>86400</v>
      </c>
      <c r="I361" s="5">
        <v>0.04</v>
      </c>
      <c r="J361" s="4">
        <v>9703.89</v>
      </c>
      <c r="K361" t="s">
        <v>49</v>
      </c>
      <c r="L361" t="s">
        <v>78</v>
      </c>
      <c r="M361" t="s">
        <v>79</v>
      </c>
      <c r="N361" t="s">
        <v>22</v>
      </c>
      <c r="O361" t="s">
        <v>23</v>
      </c>
    </row>
    <row r="362" spans="1:15" x14ac:dyDescent="0.3">
      <c r="A362" s="2" t="s">
        <v>548</v>
      </c>
      <c r="B362" s="2">
        <v>45764</v>
      </c>
      <c r="C362" t="s">
        <v>463</v>
      </c>
      <c r="D362" t="s">
        <v>26</v>
      </c>
      <c r="E362" t="s">
        <v>133</v>
      </c>
      <c r="F362" t="s">
        <v>133</v>
      </c>
      <c r="G362" s="6">
        <v>3</v>
      </c>
      <c r="H362" s="3">
        <v>6972</v>
      </c>
      <c r="I362" s="5">
        <v>0.17</v>
      </c>
      <c r="J362" s="4">
        <v>944.52</v>
      </c>
      <c r="K362" t="s">
        <v>52</v>
      </c>
      <c r="L362" t="s">
        <v>149</v>
      </c>
      <c r="M362" t="s">
        <v>175</v>
      </c>
      <c r="N362" t="s">
        <v>38</v>
      </c>
      <c r="O362" t="s">
        <v>23</v>
      </c>
    </row>
    <row r="363" spans="1:15" x14ac:dyDescent="0.3">
      <c r="A363" s="2" t="s">
        <v>1291</v>
      </c>
      <c r="B363" s="2">
        <v>46020</v>
      </c>
      <c r="C363" t="s">
        <v>112</v>
      </c>
      <c r="D363" t="s">
        <v>68</v>
      </c>
      <c r="E363" t="s">
        <v>69</v>
      </c>
      <c r="F363" t="s">
        <v>69</v>
      </c>
      <c r="G363" s="6">
        <v>1</v>
      </c>
      <c r="H363" s="3">
        <v>370</v>
      </c>
      <c r="I363" s="5">
        <v>0.26</v>
      </c>
      <c r="J363" s="4">
        <v>75.7</v>
      </c>
      <c r="K363" t="s">
        <v>75</v>
      </c>
      <c r="L363" t="s">
        <v>53</v>
      </c>
      <c r="M363" t="s">
        <v>54</v>
      </c>
      <c r="N363" t="s">
        <v>55</v>
      </c>
      <c r="O363" t="s">
        <v>44</v>
      </c>
    </row>
    <row r="364" spans="1:15" x14ac:dyDescent="0.3">
      <c r="A364" s="2" t="s">
        <v>883</v>
      </c>
      <c r="B364" s="2">
        <v>45871</v>
      </c>
      <c r="C364" t="s">
        <v>572</v>
      </c>
      <c r="D364" t="s">
        <v>47</v>
      </c>
      <c r="E364" t="s">
        <v>368</v>
      </c>
      <c r="F364" t="s">
        <v>368</v>
      </c>
      <c r="G364" s="6">
        <v>2</v>
      </c>
      <c r="H364" s="3">
        <v>2916</v>
      </c>
      <c r="I364" s="5">
        <v>0.19</v>
      </c>
      <c r="J364" s="4">
        <v>305.70999999999998</v>
      </c>
      <c r="K364" t="s">
        <v>75</v>
      </c>
      <c r="L364" t="s">
        <v>60</v>
      </c>
      <c r="M364" t="s">
        <v>61</v>
      </c>
      <c r="N364" t="s">
        <v>38</v>
      </c>
      <c r="O364" t="s">
        <v>44</v>
      </c>
    </row>
    <row r="365" spans="1:15" x14ac:dyDescent="0.3">
      <c r="A365" s="2" t="s">
        <v>267</v>
      </c>
      <c r="B365" s="2">
        <v>45695</v>
      </c>
      <c r="C365" t="s">
        <v>142</v>
      </c>
      <c r="D365" t="s">
        <v>26</v>
      </c>
      <c r="E365" t="s">
        <v>64</v>
      </c>
      <c r="F365" t="s">
        <v>64</v>
      </c>
      <c r="G365" s="6">
        <v>2</v>
      </c>
      <c r="H365" s="3">
        <v>1350</v>
      </c>
      <c r="I365" s="5">
        <v>0.25</v>
      </c>
      <c r="J365" s="4">
        <v>302.33</v>
      </c>
      <c r="K365" t="s">
        <v>65</v>
      </c>
      <c r="L365" t="s">
        <v>70</v>
      </c>
      <c r="M365" t="s">
        <v>71</v>
      </c>
      <c r="N365" t="s">
        <v>55</v>
      </c>
      <c r="O365" t="s">
        <v>44</v>
      </c>
    </row>
    <row r="366" spans="1:15" x14ac:dyDescent="0.3">
      <c r="A366" s="2" t="s">
        <v>408</v>
      </c>
      <c r="B366" s="2">
        <v>45726</v>
      </c>
      <c r="C366" t="s">
        <v>207</v>
      </c>
      <c r="D366" t="s">
        <v>47</v>
      </c>
      <c r="E366" t="s">
        <v>194</v>
      </c>
      <c r="F366" t="s">
        <v>194</v>
      </c>
      <c r="G366" s="6">
        <v>2</v>
      </c>
      <c r="H366" s="3">
        <v>99000</v>
      </c>
      <c r="I366" s="5">
        <v>0.1</v>
      </c>
      <c r="J366" s="4">
        <v>13809.89</v>
      </c>
      <c r="K366" t="s">
        <v>52</v>
      </c>
      <c r="L366" t="s">
        <v>97</v>
      </c>
      <c r="M366" t="s">
        <v>163</v>
      </c>
      <c r="N366" t="s">
        <v>31</v>
      </c>
      <c r="O366" t="s">
        <v>23</v>
      </c>
    </row>
    <row r="367" spans="1:15" x14ac:dyDescent="0.3">
      <c r="A367" s="2" t="s">
        <v>704</v>
      </c>
      <c r="B367" s="2">
        <v>45810</v>
      </c>
      <c r="C367" t="s">
        <v>137</v>
      </c>
      <c r="D367" t="s">
        <v>95</v>
      </c>
      <c r="E367" t="s">
        <v>125</v>
      </c>
      <c r="F367" t="s">
        <v>125</v>
      </c>
      <c r="G367" s="6">
        <v>3</v>
      </c>
      <c r="H367" s="3">
        <v>4536</v>
      </c>
      <c r="I367" s="5">
        <v>0.16</v>
      </c>
      <c r="J367" s="4">
        <v>717.58</v>
      </c>
      <c r="K367" t="s">
        <v>52</v>
      </c>
      <c r="L367" t="s">
        <v>97</v>
      </c>
      <c r="M367" t="s">
        <v>163</v>
      </c>
      <c r="N367" t="s">
        <v>31</v>
      </c>
      <c r="O367" t="s">
        <v>23</v>
      </c>
    </row>
    <row r="368" spans="1:15" x14ac:dyDescent="0.3">
      <c r="A368" s="2" t="s">
        <v>879</v>
      </c>
      <c r="B368" s="2">
        <v>45870</v>
      </c>
      <c r="C368" t="s">
        <v>269</v>
      </c>
      <c r="D368" t="s">
        <v>17</v>
      </c>
      <c r="E368" t="s">
        <v>85</v>
      </c>
      <c r="F368" t="s">
        <v>85</v>
      </c>
      <c r="G368" s="6">
        <v>2</v>
      </c>
      <c r="H368" s="3">
        <v>12150</v>
      </c>
      <c r="I368" s="5">
        <v>0.19</v>
      </c>
      <c r="J368" s="4">
        <v>2486.27</v>
      </c>
      <c r="K368" t="s">
        <v>19</v>
      </c>
      <c r="L368" t="s">
        <v>208</v>
      </c>
      <c r="M368" t="s">
        <v>209</v>
      </c>
      <c r="N368" t="s">
        <v>31</v>
      </c>
      <c r="O368" t="s">
        <v>23</v>
      </c>
    </row>
    <row r="369" spans="1:15" x14ac:dyDescent="0.3">
      <c r="A369" s="2" t="s">
        <v>447</v>
      </c>
      <c r="B369" s="2">
        <v>45733</v>
      </c>
      <c r="C369" t="s">
        <v>296</v>
      </c>
      <c r="D369" t="s">
        <v>26</v>
      </c>
      <c r="E369" t="s">
        <v>118</v>
      </c>
      <c r="F369" t="s">
        <v>118</v>
      </c>
      <c r="G369" s="6">
        <v>1</v>
      </c>
      <c r="H369" s="3">
        <v>1494</v>
      </c>
      <c r="I369" s="5">
        <v>0.17</v>
      </c>
      <c r="J369" s="4">
        <v>267.52</v>
      </c>
      <c r="K369" t="s">
        <v>28</v>
      </c>
      <c r="L369" t="s">
        <v>208</v>
      </c>
      <c r="M369" t="s">
        <v>209</v>
      </c>
      <c r="N369" t="s">
        <v>31</v>
      </c>
      <c r="O369" t="s">
        <v>23</v>
      </c>
    </row>
    <row r="370" spans="1:15" x14ac:dyDescent="0.3">
      <c r="A370" s="2" t="s">
        <v>571</v>
      </c>
      <c r="B370" s="2">
        <v>45769</v>
      </c>
      <c r="C370" t="s">
        <v>572</v>
      </c>
      <c r="D370" t="s">
        <v>26</v>
      </c>
      <c r="E370" t="s">
        <v>118</v>
      </c>
      <c r="F370" t="s">
        <v>118</v>
      </c>
      <c r="G370" s="6">
        <v>1</v>
      </c>
      <c r="H370" s="3">
        <v>1440</v>
      </c>
      <c r="I370" s="5">
        <v>0.2</v>
      </c>
      <c r="J370" s="4">
        <v>273.99</v>
      </c>
      <c r="K370" t="s">
        <v>19</v>
      </c>
      <c r="L370" t="s">
        <v>149</v>
      </c>
      <c r="M370" t="s">
        <v>175</v>
      </c>
      <c r="N370" t="s">
        <v>38</v>
      </c>
      <c r="O370" t="s">
        <v>23</v>
      </c>
    </row>
    <row r="371" spans="1:15" x14ac:dyDescent="0.3">
      <c r="A371" s="2" t="s">
        <v>978</v>
      </c>
      <c r="B371" s="2">
        <v>45903</v>
      </c>
      <c r="C371" t="s">
        <v>117</v>
      </c>
      <c r="D371" t="s">
        <v>95</v>
      </c>
      <c r="E371" t="s">
        <v>96</v>
      </c>
      <c r="F371" t="s">
        <v>96</v>
      </c>
      <c r="G371" s="6">
        <v>1</v>
      </c>
      <c r="H371" s="3">
        <v>666</v>
      </c>
      <c r="I371" s="5">
        <v>0.26</v>
      </c>
      <c r="J371" s="4">
        <v>110.22</v>
      </c>
      <c r="K371" t="s">
        <v>19</v>
      </c>
      <c r="L371" t="s">
        <v>159</v>
      </c>
      <c r="M371" t="s">
        <v>160</v>
      </c>
      <c r="N371" t="s">
        <v>38</v>
      </c>
      <c r="O371" t="s">
        <v>23</v>
      </c>
    </row>
    <row r="372" spans="1:15" x14ac:dyDescent="0.3">
      <c r="A372" s="2" t="s">
        <v>733</v>
      </c>
      <c r="B372" s="2">
        <v>45819</v>
      </c>
      <c r="C372" t="s">
        <v>242</v>
      </c>
      <c r="D372" t="s">
        <v>17</v>
      </c>
      <c r="E372" t="s">
        <v>85</v>
      </c>
      <c r="F372" t="s">
        <v>85</v>
      </c>
      <c r="G372" s="6">
        <v>5</v>
      </c>
      <c r="H372" s="3">
        <v>32625</v>
      </c>
      <c r="I372" s="5">
        <v>0.13</v>
      </c>
      <c r="J372" s="4">
        <v>4730.51</v>
      </c>
      <c r="K372" t="s">
        <v>19</v>
      </c>
      <c r="L372" t="s">
        <v>70</v>
      </c>
      <c r="M372" t="s">
        <v>71</v>
      </c>
      <c r="N372" t="s">
        <v>55</v>
      </c>
      <c r="O372" t="s">
        <v>44</v>
      </c>
    </row>
    <row r="373" spans="1:15" x14ac:dyDescent="0.3">
      <c r="A373" s="2" t="s">
        <v>416</v>
      </c>
      <c r="B373" s="2">
        <v>45729</v>
      </c>
      <c r="C373" t="s">
        <v>417</v>
      </c>
      <c r="D373" t="s">
        <v>17</v>
      </c>
      <c r="E373" t="s">
        <v>85</v>
      </c>
      <c r="F373" t="s">
        <v>85</v>
      </c>
      <c r="G373" s="6">
        <v>1</v>
      </c>
      <c r="H373" s="3">
        <v>5775</v>
      </c>
      <c r="I373" s="5">
        <v>0.23</v>
      </c>
      <c r="J373" s="4">
        <v>414.26</v>
      </c>
      <c r="K373" t="s">
        <v>75</v>
      </c>
      <c r="L373" t="s">
        <v>97</v>
      </c>
      <c r="M373" t="s">
        <v>163</v>
      </c>
      <c r="N373" t="s">
        <v>31</v>
      </c>
      <c r="O373" t="s">
        <v>44</v>
      </c>
    </row>
    <row r="374" spans="1:15" x14ac:dyDescent="0.3">
      <c r="A374" s="2" t="s">
        <v>660</v>
      </c>
      <c r="B374" s="2">
        <v>45798</v>
      </c>
      <c r="C374" t="s">
        <v>661</v>
      </c>
      <c r="D374" t="s">
        <v>47</v>
      </c>
      <c r="E374" t="s">
        <v>194</v>
      </c>
      <c r="F374" t="s">
        <v>194</v>
      </c>
      <c r="G374" s="6">
        <v>1</v>
      </c>
      <c r="H374" s="3">
        <v>49500</v>
      </c>
      <c r="I374" s="5">
        <v>0.1</v>
      </c>
      <c r="J374" s="4">
        <v>8330.16</v>
      </c>
      <c r="K374" t="s">
        <v>75</v>
      </c>
      <c r="L374" t="s">
        <v>29</v>
      </c>
      <c r="M374" t="s">
        <v>30</v>
      </c>
      <c r="N374" t="s">
        <v>31</v>
      </c>
      <c r="O374" t="s">
        <v>44</v>
      </c>
    </row>
    <row r="375" spans="1:15" x14ac:dyDescent="0.3">
      <c r="A375" s="2" t="s">
        <v>1066</v>
      </c>
      <c r="B375" s="2">
        <v>45939</v>
      </c>
      <c r="C375" t="s">
        <v>84</v>
      </c>
      <c r="D375" t="s">
        <v>47</v>
      </c>
      <c r="E375" t="s">
        <v>74</v>
      </c>
      <c r="F375" t="s">
        <v>74</v>
      </c>
      <c r="G375" s="6">
        <v>3</v>
      </c>
      <c r="H375" s="3">
        <v>47520</v>
      </c>
      <c r="I375" s="5">
        <v>0.12</v>
      </c>
      <c r="J375" s="4">
        <v>6812.41</v>
      </c>
      <c r="K375" t="s">
        <v>52</v>
      </c>
      <c r="L375" t="s">
        <v>97</v>
      </c>
      <c r="M375" t="s">
        <v>98</v>
      </c>
      <c r="N375" t="s">
        <v>31</v>
      </c>
      <c r="O375" t="s">
        <v>44</v>
      </c>
    </row>
    <row r="376" spans="1:15" x14ac:dyDescent="0.3">
      <c r="A376" s="2" t="s">
        <v>1070</v>
      </c>
      <c r="B376" s="2">
        <v>45939</v>
      </c>
      <c r="C376" t="s">
        <v>474</v>
      </c>
      <c r="D376" t="s">
        <v>34</v>
      </c>
      <c r="E376" t="s">
        <v>227</v>
      </c>
      <c r="F376" t="s">
        <v>227</v>
      </c>
      <c r="G376" s="6">
        <v>4</v>
      </c>
      <c r="H376" s="3">
        <v>22100</v>
      </c>
      <c r="I376" s="5">
        <v>0.15</v>
      </c>
      <c r="J376" s="4">
        <v>3245.04</v>
      </c>
      <c r="K376" t="s">
        <v>28</v>
      </c>
      <c r="L376" t="s">
        <v>36</v>
      </c>
      <c r="M376" t="s">
        <v>128</v>
      </c>
      <c r="N376" t="s">
        <v>38</v>
      </c>
      <c r="O376" t="s">
        <v>44</v>
      </c>
    </row>
    <row r="377" spans="1:15" x14ac:dyDescent="0.3">
      <c r="A377" s="2" t="s">
        <v>1298</v>
      </c>
      <c r="B377" s="2">
        <v>46021</v>
      </c>
      <c r="C377" t="s">
        <v>167</v>
      </c>
      <c r="D377" t="s">
        <v>47</v>
      </c>
      <c r="E377" t="s">
        <v>368</v>
      </c>
      <c r="F377" t="s">
        <v>368</v>
      </c>
      <c r="G377" s="6">
        <v>1</v>
      </c>
      <c r="H377" s="3">
        <v>1530</v>
      </c>
      <c r="I377" s="5">
        <v>0.15</v>
      </c>
      <c r="J377" s="4">
        <v>245.39</v>
      </c>
      <c r="K377" t="s">
        <v>49</v>
      </c>
      <c r="L377" t="s">
        <v>70</v>
      </c>
      <c r="M377" t="s">
        <v>71</v>
      </c>
      <c r="N377" t="s">
        <v>55</v>
      </c>
      <c r="O377" t="s">
        <v>44</v>
      </c>
    </row>
    <row r="378" spans="1:15" x14ac:dyDescent="0.3">
      <c r="A378" s="2" t="s">
        <v>946</v>
      </c>
      <c r="B378" s="2">
        <v>45889</v>
      </c>
      <c r="C378" t="s">
        <v>347</v>
      </c>
      <c r="D378" t="s">
        <v>34</v>
      </c>
      <c r="E378" t="s">
        <v>302</v>
      </c>
      <c r="F378" t="s">
        <v>302</v>
      </c>
      <c r="G378" s="6">
        <v>1</v>
      </c>
      <c r="H378" s="3">
        <v>3045</v>
      </c>
      <c r="I378" s="5">
        <v>0.13</v>
      </c>
      <c r="J378" s="4">
        <v>405.51</v>
      </c>
      <c r="K378" t="s">
        <v>19</v>
      </c>
      <c r="L378" t="s">
        <v>170</v>
      </c>
      <c r="M378" t="s">
        <v>171</v>
      </c>
      <c r="N378" t="s">
        <v>31</v>
      </c>
      <c r="O378" t="s">
        <v>23</v>
      </c>
    </row>
    <row r="379" spans="1:15" x14ac:dyDescent="0.3">
      <c r="A379" s="2" t="s">
        <v>1287</v>
      </c>
      <c r="B379" s="2">
        <v>46017</v>
      </c>
      <c r="C379" t="s">
        <v>211</v>
      </c>
      <c r="D379" t="s">
        <v>68</v>
      </c>
      <c r="E379" t="s">
        <v>69</v>
      </c>
      <c r="F379" t="s">
        <v>69</v>
      </c>
      <c r="G379" s="6">
        <v>2</v>
      </c>
      <c r="H379" s="3">
        <v>780</v>
      </c>
      <c r="I379" s="5">
        <v>0.22</v>
      </c>
      <c r="J379" s="4">
        <v>160.12</v>
      </c>
      <c r="K379" t="s">
        <v>28</v>
      </c>
      <c r="L379" t="s">
        <v>36</v>
      </c>
      <c r="M379" t="s">
        <v>37</v>
      </c>
      <c r="N379" t="s">
        <v>38</v>
      </c>
      <c r="O379" t="s">
        <v>23</v>
      </c>
    </row>
    <row r="380" spans="1:15" x14ac:dyDescent="0.3">
      <c r="A380" s="2" t="s">
        <v>908</v>
      </c>
      <c r="B380" s="2">
        <v>45878</v>
      </c>
      <c r="C380" t="s">
        <v>496</v>
      </c>
      <c r="D380" t="s">
        <v>58</v>
      </c>
      <c r="E380" t="s">
        <v>138</v>
      </c>
      <c r="F380" t="s">
        <v>138</v>
      </c>
      <c r="G380" s="6">
        <v>1</v>
      </c>
      <c r="H380" s="3">
        <v>1914</v>
      </c>
      <c r="I380" s="5">
        <v>0.13</v>
      </c>
      <c r="J380" s="4">
        <v>249.31</v>
      </c>
      <c r="K380" t="s">
        <v>49</v>
      </c>
      <c r="L380" t="s">
        <v>170</v>
      </c>
      <c r="M380" t="s">
        <v>171</v>
      </c>
      <c r="N380" t="s">
        <v>31</v>
      </c>
      <c r="O380" t="s">
        <v>23</v>
      </c>
    </row>
    <row r="381" spans="1:15" x14ac:dyDescent="0.3">
      <c r="A381" s="2" t="s">
        <v>553</v>
      </c>
      <c r="B381" s="2">
        <v>45764</v>
      </c>
      <c r="C381" t="s">
        <v>554</v>
      </c>
      <c r="D381" t="s">
        <v>95</v>
      </c>
      <c r="E381" t="s">
        <v>125</v>
      </c>
      <c r="F381" t="s">
        <v>125</v>
      </c>
      <c r="G381" s="6">
        <v>1</v>
      </c>
      <c r="H381" s="3">
        <v>1530</v>
      </c>
      <c r="I381" s="5">
        <v>0.15</v>
      </c>
      <c r="J381" s="4">
        <v>310.20999999999998</v>
      </c>
      <c r="K381" t="s">
        <v>28</v>
      </c>
      <c r="L381" t="s">
        <v>36</v>
      </c>
      <c r="M381" t="s">
        <v>37</v>
      </c>
      <c r="N381" t="s">
        <v>38</v>
      </c>
      <c r="O381" t="s">
        <v>44</v>
      </c>
    </row>
    <row r="382" spans="1:15" x14ac:dyDescent="0.3">
      <c r="A382" s="2" t="s">
        <v>842</v>
      </c>
      <c r="B382" s="2">
        <v>45858</v>
      </c>
      <c r="C382" t="s">
        <v>319</v>
      </c>
      <c r="D382" t="s">
        <v>68</v>
      </c>
      <c r="E382" t="s">
        <v>153</v>
      </c>
      <c r="F382" t="s">
        <v>153</v>
      </c>
      <c r="G382" s="6">
        <v>3</v>
      </c>
      <c r="H382" s="3">
        <v>2808</v>
      </c>
      <c r="I382" s="5">
        <v>0.22</v>
      </c>
      <c r="J382" s="4">
        <v>587.79999999999995</v>
      </c>
      <c r="K382" t="s">
        <v>28</v>
      </c>
      <c r="L382" t="s">
        <v>36</v>
      </c>
      <c r="M382" t="s">
        <v>101</v>
      </c>
      <c r="N382" t="s">
        <v>38</v>
      </c>
      <c r="O382" t="s">
        <v>44</v>
      </c>
    </row>
    <row r="383" spans="1:15" x14ac:dyDescent="0.3">
      <c r="A383" s="2" t="s">
        <v>494</v>
      </c>
      <c r="B383" s="2">
        <v>45749</v>
      </c>
      <c r="C383" t="s">
        <v>229</v>
      </c>
      <c r="D383" t="s">
        <v>17</v>
      </c>
      <c r="E383" t="s">
        <v>85</v>
      </c>
      <c r="F383" t="s">
        <v>85</v>
      </c>
      <c r="G383" s="6">
        <v>2</v>
      </c>
      <c r="H383" s="3">
        <v>12150</v>
      </c>
      <c r="I383" s="5">
        <v>0.19</v>
      </c>
      <c r="J383" s="4">
        <v>1645.72</v>
      </c>
      <c r="K383" t="s">
        <v>28</v>
      </c>
      <c r="L383" t="s">
        <v>36</v>
      </c>
      <c r="M383" t="s">
        <v>101</v>
      </c>
      <c r="N383" t="s">
        <v>38</v>
      </c>
      <c r="O383" t="s">
        <v>23</v>
      </c>
    </row>
    <row r="384" spans="1:15" x14ac:dyDescent="0.3">
      <c r="A384" s="2" t="s">
        <v>972</v>
      </c>
      <c r="B384" s="2">
        <v>45902</v>
      </c>
      <c r="C384" t="s">
        <v>16</v>
      </c>
      <c r="D384" t="s">
        <v>26</v>
      </c>
      <c r="E384" t="s">
        <v>27</v>
      </c>
      <c r="F384" t="s">
        <v>27</v>
      </c>
      <c r="G384" s="6">
        <v>5</v>
      </c>
      <c r="H384" s="3">
        <v>5810</v>
      </c>
      <c r="I384" s="5">
        <v>0.17</v>
      </c>
      <c r="J384" s="4">
        <v>856.94</v>
      </c>
      <c r="K384" t="s">
        <v>19</v>
      </c>
      <c r="L384" t="s">
        <v>97</v>
      </c>
      <c r="M384" t="s">
        <v>98</v>
      </c>
      <c r="N384" t="s">
        <v>31</v>
      </c>
      <c r="O384" t="s">
        <v>44</v>
      </c>
    </row>
    <row r="385" spans="1:15" x14ac:dyDescent="0.3">
      <c r="A385" s="2" t="s">
        <v>504</v>
      </c>
      <c r="B385" s="2">
        <v>45751</v>
      </c>
      <c r="C385" t="s">
        <v>275</v>
      </c>
      <c r="D385" t="s">
        <v>95</v>
      </c>
      <c r="E385" t="s">
        <v>104</v>
      </c>
      <c r="F385" t="s">
        <v>104</v>
      </c>
      <c r="G385" s="6">
        <v>5</v>
      </c>
      <c r="H385" s="3">
        <v>15925</v>
      </c>
      <c r="I385" s="5">
        <v>0.09</v>
      </c>
      <c r="J385" s="4">
        <v>2401.11</v>
      </c>
      <c r="K385" t="s">
        <v>75</v>
      </c>
      <c r="L385" t="s">
        <v>134</v>
      </c>
      <c r="M385" t="s">
        <v>135</v>
      </c>
      <c r="N385" t="s">
        <v>55</v>
      </c>
      <c r="O385" t="s">
        <v>23</v>
      </c>
    </row>
    <row r="386" spans="1:15" x14ac:dyDescent="0.3">
      <c r="A386" s="2" t="s">
        <v>1255</v>
      </c>
      <c r="B386" s="2">
        <v>46003</v>
      </c>
      <c r="C386" t="s">
        <v>383</v>
      </c>
      <c r="D386" t="s">
        <v>26</v>
      </c>
      <c r="E386" t="s">
        <v>118</v>
      </c>
      <c r="F386" t="s">
        <v>118</v>
      </c>
      <c r="G386" s="6">
        <v>1</v>
      </c>
      <c r="H386" s="3">
        <v>1476</v>
      </c>
      <c r="I386" s="5">
        <v>0.18</v>
      </c>
      <c r="J386" s="4">
        <v>285.73</v>
      </c>
      <c r="K386" t="s">
        <v>52</v>
      </c>
      <c r="L386" t="s">
        <v>60</v>
      </c>
      <c r="M386" t="s">
        <v>61</v>
      </c>
      <c r="N386" t="s">
        <v>38</v>
      </c>
      <c r="O386" t="s">
        <v>44</v>
      </c>
    </row>
    <row r="387" spans="1:15" x14ac:dyDescent="0.3">
      <c r="A387" s="2" t="s">
        <v>912</v>
      </c>
      <c r="B387" s="2">
        <v>45879</v>
      </c>
      <c r="C387" t="s">
        <v>132</v>
      </c>
      <c r="D387" t="s">
        <v>47</v>
      </c>
      <c r="E387" t="s">
        <v>194</v>
      </c>
      <c r="F387" t="s">
        <v>194</v>
      </c>
      <c r="G387" s="6">
        <v>2</v>
      </c>
      <c r="H387" s="3">
        <v>103400</v>
      </c>
      <c r="I387" s="5">
        <v>0.06</v>
      </c>
      <c r="J387" s="4">
        <v>14220.57</v>
      </c>
      <c r="K387" t="s">
        <v>19</v>
      </c>
      <c r="L387" t="s">
        <v>149</v>
      </c>
      <c r="M387" t="s">
        <v>150</v>
      </c>
      <c r="N387" t="s">
        <v>38</v>
      </c>
      <c r="O387" t="s">
        <v>23</v>
      </c>
    </row>
    <row r="388" spans="1:15" x14ac:dyDescent="0.3">
      <c r="A388" s="2" t="s">
        <v>856</v>
      </c>
      <c r="B388" s="2">
        <v>45864</v>
      </c>
      <c r="C388" t="s">
        <v>84</v>
      </c>
      <c r="D388" t="s">
        <v>47</v>
      </c>
      <c r="E388" t="s">
        <v>240</v>
      </c>
      <c r="F388" t="s">
        <v>240</v>
      </c>
      <c r="G388" s="6">
        <v>3</v>
      </c>
      <c r="H388" s="3">
        <v>6150</v>
      </c>
      <c r="I388" s="5">
        <v>0.18</v>
      </c>
      <c r="J388" s="4">
        <v>986.51</v>
      </c>
      <c r="K388" t="s">
        <v>65</v>
      </c>
      <c r="L388" t="s">
        <v>36</v>
      </c>
      <c r="M388" t="s">
        <v>128</v>
      </c>
      <c r="N388" t="s">
        <v>38</v>
      </c>
      <c r="O388" t="s">
        <v>44</v>
      </c>
    </row>
    <row r="389" spans="1:15" x14ac:dyDescent="0.3">
      <c r="A389" s="2" t="s">
        <v>411</v>
      </c>
      <c r="B389" s="2">
        <v>45727</v>
      </c>
      <c r="C389" t="s">
        <v>213</v>
      </c>
      <c r="D389" t="s">
        <v>26</v>
      </c>
      <c r="E389" t="s">
        <v>64</v>
      </c>
      <c r="F389" t="s">
        <v>64</v>
      </c>
      <c r="G389" s="6">
        <v>1</v>
      </c>
      <c r="H389" s="3">
        <v>684</v>
      </c>
      <c r="I389" s="5">
        <v>0.24</v>
      </c>
      <c r="J389" s="4">
        <v>155.80000000000001</v>
      </c>
      <c r="K389" t="s">
        <v>75</v>
      </c>
      <c r="L389" t="s">
        <v>78</v>
      </c>
      <c r="M389" t="s">
        <v>79</v>
      </c>
      <c r="N389" t="s">
        <v>22</v>
      </c>
      <c r="O389" t="s">
        <v>44</v>
      </c>
    </row>
    <row r="390" spans="1:15" x14ac:dyDescent="0.3">
      <c r="A390" s="2" t="s">
        <v>942</v>
      </c>
      <c r="B390" s="2">
        <v>45889</v>
      </c>
      <c r="C390" t="s">
        <v>73</v>
      </c>
      <c r="D390" t="s">
        <v>58</v>
      </c>
      <c r="E390" t="s">
        <v>138</v>
      </c>
      <c r="F390" t="s">
        <v>138</v>
      </c>
      <c r="G390" s="6">
        <v>3</v>
      </c>
      <c r="H390" s="3">
        <v>5742</v>
      </c>
      <c r="I390" s="5">
        <v>0.13</v>
      </c>
      <c r="J390" s="4">
        <v>1011.26</v>
      </c>
      <c r="K390" t="s">
        <v>49</v>
      </c>
      <c r="L390" t="s">
        <v>60</v>
      </c>
      <c r="M390" t="s">
        <v>61</v>
      </c>
      <c r="N390" t="s">
        <v>38</v>
      </c>
      <c r="O390" t="s">
        <v>23</v>
      </c>
    </row>
    <row r="391" spans="1:15" x14ac:dyDescent="0.3">
      <c r="A391" s="2" t="s">
        <v>1301</v>
      </c>
      <c r="B391" s="2">
        <v>46022</v>
      </c>
      <c r="C391" t="s">
        <v>562</v>
      </c>
      <c r="D391" t="s">
        <v>58</v>
      </c>
      <c r="E391" t="s">
        <v>178</v>
      </c>
      <c r="F391" t="s">
        <v>178</v>
      </c>
      <c r="G391" s="6">
        <v>1</v>
      </c>
      <c r="H391" s="3">
        <v>572</v>
      </c>
      <c r="I391" s="5">
        <v>0.12</v>
      </c>
      <c r="J391" s="4">
        <v>106.37</v>
      </c>
      <c r="K391" t="s">
        <v>52</v>
      </c>
      <c r="L391" t="s">
        <v>20</v>
      </c>
      <c r="M391" t="s">
        <v>21</v>
      </c>
      <c r="N391" t="s">
        <v>22</v>
      </c>
      <c r="O391" t="s">
        <v>44</v>
      </c>
    </row>
    <row r="392" spans="1:15" x14ac:dyDescent="0.3">
      <c r="A392" s="2" t="s">
        <v>1130</v>
      </c>
      <c r="B392" s="2">
        <v>45961</v>
      </c>
      <c r="C392" t="s">
        <v>299</v>
      </c>
      <c r="D392" t="s">
        <v>68</v>
      </c>
      <c r="E392" t="s">
        <v>120</v>
      </c>
      <c r="F392" t="s">
        <v>120</v>
      </c>
      <c r="G392" s="6">
        <v>2</v>
      </c>
      <c r="H392" s="3">
        <v>1022</v>
      </c>
      <c r="I392" s="5">
        <v>0.27</v>
      </c>
      <c r="J392" s="4">
        <v>210.27</v>
      </c>
      <c r="K392" t="s">
        <v>49</v>
      </c>
      <c r="L392" t="s">
        <v>70</v>
      </c>
      <c r="M392" t="s">
        <v>71</v>
      </c>
      <c r="N392" t="s">
        <v>55</v>
      </c>
      <c r="O392" t="s">
        <v>23</v>
      </c>
    </row>
    <row r="393" spans="1:15" x14ac:dyDescent="0.3">
      <c r="A393" s="2" t="s">
        <v>862</v>
      </c>
      <c r="B393" s="2">
        <v>45865</v>
      </c>
      <c r="C393" t="s">
        <v>235</v>
      </c>
      <c r="D393" t="s">
        <v>47</v>
      </c>
      <c r="E393" t="s">
        <v>224</v>
      </c>
      <c r="F393" t="s">
        <v>224</v>
      </c>
      <c r="G393" s="6">
        <v>2</v>
      </c>
      <c r="H393" s="3">
        <v>9300</v>
      </c>
      <c r="I393" s="5">
        <v>7.0000000000000007E-2</v>
      </c>
      <c r="J393" s="4">
        <v>866.05</v>
      </c>
      <c r="K393" t="s">
        <v>28</v>
      </c>
      <c r="L393" t="s">
        <v>149</v>
      </c>
      <c r="M393" t="s">
        <v>150</v>
      </c>
      <c r="N393" t="s">
        <v>38</v>
      </c>
      <c r="O393" t="s">
        <v>23</v>
      </c>
    </row>
    <row r="394" spans="1:15" x14ac:dyDescent="0.3">
      <c r="A394" s="2" t="s">
        <v>425</v>
      </c>
      <c r="B394" s="2">
        <v>45731</v>
      </c>
      <c r="C394" t="s">
        <v>327</v>
      </c>
      <c r="D394" t="s">
        <v>26</v>
      </c>
      <c r="E394" t="s">
        <v>133</v>
      </c>
      <c r="F394" t="s">
        <v>133</v>
      </c>
      <c r="G394" s="6">
        <v>2</v>
      </c>
      <c r="H394" s="3">
        <v>4256</v>
      </c>
      <c r="I394" s="5">
        <v>0.24</v>
      </c>
      <c r="J394" s="4">
        <v>744.68</v>
      </c>
      <c r="K394" t="s">
        <v>19</v>
      </c>
      <c r="L394" t="s">
        <v>97</v>
      </c>
      <c r="M394" t="s">
        <v>98</v>
      </c>
      <c r="N394" t="s">
        <v>31</v>
      </c>
      <c r="O394" t="s">
        <v>23</v>
      </c>
    </row>
    <row r="395" spans="1:15" x14ac:dyDescent="0.3">
      <c r="A395" s="2" t="s">
        <v>321</v>
      </c>
      <c r="B395" s="2">
        <v>45708</v>
      </c>
      <c r="C395" t="s">
        <v>322</v>
      </c>
      <c r="D395" t="s">
        <v>26</v>
      </c>
      <c r="E395" t="s">
        <v>64</v>
      </c>
      <c r="F395" t="s">
        <v>64</v>
      </c>
      <c r="G395" s="6">
        <v>1</v>
      </c>
      <c r="H395" s="3">
        <v>666</v>
      </c>
      <c r="I395" s="5">
        <v>0.26</v>
      </c>
      <c r="J395" s="4">
        <v>142.35</v>
      </c>
      <c r="K395" t="s">
        <v>19</v>
      </c>
      <c r="L395" t="s">
        <v>86</v>
      </c>
      <c r="M395" t="s">
        <v>87</v>
      </c>
      <c r="N395" t="s">
        <v>38</v>
      </c>
      <c r="O395" t="s">
        <v>44</v>
      </c>
    </row>
    <row r="396" spans="1:15" x14ac:dyDescent="0.3">
      <c r="A396" s="2" t="s">
        <v>715</v>
      </c>
      <c r="B396" s="2">
        <v>45812</v>
      </c>
      <c r="C396" t="s">
        <v>203</v>
      </c>
      <c r="D396" t="s">
        <v>34</v>
      </c>
      <c r="E396" t="s">
        <v>302</v>
      </c>
      <c r="F396" t="s">
        <v>302</v>
      </c>
      <c r="G396" s="6">
        <v>3</v>
      </c>
      <c r="H396" s="3">
        <v>8085</v>
      </c>
      <c r="I396" s="5">
        <v>0.23</v>
      </c>
      <c r="J396" s="4">
        <v>1213.5</v>
      </c>
      <c r="K396" t="s">
        <v>19</v>
      </c>
      <c r="L396" t="s">
        <v>208</v>
      </c>
      <c r="M396" t="s">
        <v>209</v>
      </c>
      <c r="N396" t="s">
        <v>31</v>
      </c>
      <c r="O396" t="s">
        <v>23</v>
      </c>
    </row>
    <row r="397" spans="1:15" x14ac:dyDescent="0.3">
      <c r="A397" s="2" t="s">
        <v>385</v>
      </c>
      <c r="B397" s="2">
        <v>45721</v>
      </c>
      <c r="C397" t="s">
        <v>386</v>
      </c>
      <c r="D397" t="s">
        <v>47</v>
      </c>
      <c r="E397" t="s">
        <v>368</v>
      </c>
      <c r="F397" t="s">
        <v>368</v>
      </c>
      <c r="G397" s="6">
        <v>2</v>
      </c>
      <c r="H397" s="3">
        <v>3204</v>
      </c>
      <c r="I397" s="5">
        <v>0.11</v>
      </c>
      <c r="J397" s="4">
        <v>385.35</v>
      </c>
      <c r="K397" t="s">
        <v>52</v>
      </c>
      <c r="L397" t="s">
        <v>53</v>
      </c>
      <c r="M397" t="s">
        <v>54</v>
      </c>
      <c r="N397" t="s">
        <v>55</v>
      </c>
      <c r="O397" t="s">
        <v>23</v>
      </c>
    </row>
    <row r="398" spans="1:15" x14ac:dyDescent="0.3">
      <c r="A398" s="2" t="s">
        <v>573</v>
      </c>
      <c r="B398" s="2">
        <v>45769</v>
      </c>
      <c r="C398" t="s">
        <v>203</v>
      </c>
      <c r="D398" t="s">
        <v>95</v>
      </c>
      <c r="E398" t="s">
        <v>96</v>
      </c>
      <c r="F398" t="s">
        <v>96</v>
      </c>
      <c r="G398" s="6">
        <v>3</v>
      </c>
      <c r="H398" s="3">
        <v>2187</v>
      </c>
      <c r="I398" s="5">
        <v>0.19</v>
      </c>
      <c r="J398" s="4">
        <v>324.33</v>
      </c>
      <c r="K398" t="s">
        <v>19</v>
      </c>
      <c r="L398" t="s">
        <v>170</v>
      </c>
      <c r="M398" t="s">
        <v>171</v>
      </c>
      <c r="N398" t="s">
        <v>31</v>
      </c>
      <c r="O398" t="s">
        <v>23</v>
      </c>
    </row>
    <row r="399" spans="1:15" x14ac:dyDescent="0.3">
      <c r="A399" s="2" t="s">
        <v>717</v>
      </c>
      <c r="B399" s="2">
        <v>45813</v>
      </c>
      <c r="C399" t="s">
        <v>132</v>
      </c>
      <c r="D399" t="s">
        <v>58</v>
      </c>
      <c r="E399" t="s">
        <v>59</v>
      </c>
      <c r="F399" t="s">
        <v>59</v>
      </c>
      <c r="G399" s="6">
        <v>1</v>
      </c>
      <c r="H399" s="3">
        <v>387</v>
      </c>
      <c r="I399" s="5">
        <v>0.14000000000000001</v>
      </c>
      <c r="J399" s="4">
        <v>74.87</v>
      </c>
      <c r="K399" t="s">
        <v>19</v>
      </c>
      <c r="L399" t="s">
        <v>149</v>
      </c>
      <c r="M399" t="s">
        <v>150</v>
      </c>
      <c r="N399" t="s">
        <v>38</v>
      </c>
      <c r="O399" t="s">
        <v>23</v>
      </c>
    </row>
    <row r="400" spans="1:15" x14ac:dyDescent="0.3">
      <c r="A400" s="2" t="s">
        <v>1295</v>
      </c>
      <c r="B400" s="2">
        <v>46021</v>
      </c>
      <c r="C400" t="s">
        <v>617</v>
      </c>
      <c r="D400" t="s">
        <v>26</v>
      </c>
      <c r="E400" t="s">
        <v>27</v>
      </c>
      <c r="F400" t="s">
        <v>27</v>
      </c>
      <c r="G400" s="6">
        <v>2</v>
      </c>
      <c r="H400" s="3">
        <v>2240</v>
      </c>
      <c r="I400" s="5">
        <v>0.2</v>
      </c>
      <c r="J400" s="4">
        <v>400.31</v>
      </c>
      <c r="K400" t="s">
        <v>65</v>
      </c>
      <c r="L400" t="s">
        <v>134</v>
      </c>
      <c r="M400" t="s">
        <v>135</v>
      </c>
      <c r="N400" t="s">
        <v>55</v>
      </c>
      <c r="O400" t="s">
        <v>23</v>
      </c>
    </row>
    <row r="401" spans="1:15" x14ac:dyDescent="0.3">
      <c r="A401" s="2" t="s">
        <v>293</v>
      </c>
      <c r="B401" s="2">
        <v>45702</v>
      </c>
      <c r="C401" t="s">
        <v>294</v>
      </c>
      <c r="D401" t="s">
        <v>58</v>
      </c>
      <c r="E401" t="s">
        <v>178</v>
      </c>
      <c r="F401" t="s">
        <v>178</v>
      </c>
      <c r="G401" s="6">
        <v>2</v>
      </c>
      <c r="H401" s="3">
        <v>1053</v>
      </c>
      <c r="I401" s="5">
        <v>0.19</v>
      </c>
      <c r="J401" s="4">
        <v>184.1</v>
      </c>
      <c r="K401" t="s">
        <v>49</v>
      </c>
      <c r="L401" t="s">
        <v>208</v>
      </c>
      <c r="M401" t="s">
        <v>209</v>
      </c>
      <c r="N401" t="s">
        <v>31</v>
      </c>
      <c r="O401" t="s">
        <v>44</v>
      </c>
    </row>
    <row r="402" spans="1:15" x14ac:dyDescent="0.3">
      <c r="A402" s="2" t="s">
        <v>950</v>
      </c>
      <c r="B402" s="2">
        <v>45891</v>
      </c>
      <c r="C402" t="s">
        <v>299</v>
      </c>
      <c r="D402" t="s">
        <v>34</v>
      </c>
      <c r="E402" t="s">
        <v>41</v>
      </c>
      <c r="F402" t="s">
        <v>41</v>
      </c>
      <c r="G402" s="6">
        <v>3</v>
      </c>
      <c r="H402" s="3">
        <v>12750</v>
      </c>
      <c r="I402" s="5">
        <v>0.15</v>
      </c>
      <c r="J402" s="4">
        <v>1835.1</v>
      </c>
      <c r="K402" t="s">
        <v>65</v>
      </c>
      <c r="L402" t="s">
        <v>78</v>
      </c>
      <c r="M402" t="s">
        <v>79</v>
      </c>
      <c r="N402" t="s">
        <v>22</v>
      </c>
      <c r="O402" t="s">
        <v>23</v>
      </c>
    </row>
    <row r="403" spans="1:15" x14ac:dyDescent="0.3">
      <c r="A403" s="2" t="s">
        <v>588</v>
      </c>
      <c r="B403" s="2">
        <v>45776</v>
      </c>
      <c r="C403" t="s">
        <v>84</v>
      </c>
      <c r="D403" t="s">
        <v>17</v>
      </c>
      <c r="E403" t="s">
        <v>148</v>
      </c>
      <c r="F403" t="s">
        <v>148</v>
      </c>
      <c r="G403" s="6">
        <v>1</v>
      </c>
      <c r="H403" s="3">
        <v>21560</v>
      </c>
      <c r="I403" s="5">
        <v>0.23</v>
      </c>
      <c r="J403" s="4">
        <v>2325.9699999999998</v>
      </c>
      <c r="K403" t="s">
        <v>19</v>
      </c>
      <c r="L403" t="s">
        <v>159</v>
      </c>
      <c r="M403" t="s">
        <v>160</v>
      </c>
      <c r="N403" t="s">
        <v>38</v>
      </c>
      <c r="O403" t="s">
        <v>44</v>
      </c>
    </row>
    <row r="404" spans="1:15" x14ac:dyDescent="0.3">
      <c r="A404" s="2" t="s">
        <v>412</v>
      </c>
      <c r="B404" s="2">
        <v>45728</v>
      </c>
      <c r="C404" t="s">
        <v>413</v>
      </c>
      <c r="D404" t="s">
        <v>68</v>
      </c>
      <c r="E404" t="s">
        <v>237</v>
      </c>
      <c r="F404" t="s">
        <v>237</v>
      </c>
      <c r="G404" s="6">
        <v>2</v>
      </c>
      <c r="H404" s="3">
        <v>1440</v>
      </c>
      <c r="I404" s="5">
        <v>0.2</v>
      </c>
      <c r="J404" s="4">
        <v>231.44</v>
      </c>
      <c r="K404" t="s">
        <v>49</v>
      </c>
      <c r="L404" t="s">
        <v>86</v>
      </c>
      <c r="M404" t="s">
        <v>87</v>
      </c>
      <c r="N404" t="s">
        <v>38</v>
      </c>
      <c r="O404" t="s">
        <v>23</v>
      </c>
    </row>
    <row r="405" spans="1:15" x14ac:dyDescent="0.3">
      <c r="A405" s="2" t="s">
        <v>1113</v>
      </c>
      <c r="B405" s="2">
        <v>45953</v>
      </c>
      <c r="C405" t="s">
        <v>140</v>
      </c>
      <c r="D405" t="s">
        <v>26</v>
      </c>
      <c r="E405" t="s">
        <v>118</v>
      </c>
      <c r="F405" t="s">
        <v>118</v>
      </c>
      <c r="G405" s="6">
        <v>3</v>
      </c>
      <c r="H405" s="3">
        <v>4320</v>
      </c>
      <c r="I405" s="5">
        <v>0.2</v>
      </c>
      <c r="J405" s="4">
        <v>646.05999999999995</v>
      </c>
      <c r="K405" t="s">
        <v>65</v>
      </c>
      <c r="L405" t="s">
        <v>97</v>
      </c>
      <c r="M405" t="s">
        <v>163</v>
      </c>
      <c r="N405" t="s">
        <v>31</v>
      </c>
      <c r="O405" t="s">
        <v>44</v>
      </c>
    </row>
    <row r="406" spans="1:15" x14ac:dyDescent="0.3">
      <c r="A406" s="2" t="s">
        <v>530</v>
      </c>
      <c r="B406" s="2">
        <v>45758</v>
      </c>
      <c r="C406" t="s">
        <v>63</v>
      </c>
      <c r="D406" t="s">
        <v>58</v>
      </c>
      <c r="E406" t="s">
        <v>59</v>
      </c>
      <c r="F406" t="s">
        <v>59</v>
      </c>
      <c r="G406" s="6">
        <v>2</v>
      </c>
      <c r="H406" s="3">
        <v>711</v>
      </c>
      <c r="I406" s="5">
        <v>0.21</v>
      </c>
      <c r="J406" s="4">
        <v>133.08000000000001</v>
      </c>
      <c r="K406" t="s">
        <v>19</v>
      </c>
      <c r="L406" t="s">
        <v>60</v>
      </c>
      <c r="M406" t="s">
        <v>61</v>
      </c>
      <c r="N406" t="s">
        <v>38</v>
      </c>
      <c r="O406" t="s">
        <v>23</v>
      </c>
    </row>
    <row r="407" spans="1:15" x14ac:dyDescent="0.3">
      <c r="A407" s="2" t="s">
        <v>817</v>
      </c>
      <c r="B407" s="2">
        <v>45849</v>
      </c>
      <c r="C407" t="s">
        <v>523</v>
      </c>
      <c r="D407" t="s">
        <v>17</v>
      </c>
      <c r="E407" t="s">
        <v>110</v>
      </c>
      <c r="F407" t="s">
        <v>110</v>
      </c>
      <c r="G407" s="6">
        <v>3</v>
      </c>
      <c r="H407" s="3">
        <v>17160</v>
      </c>
      <c r="I407" s="5">
        <v>0.12</v>
      </c>
      <c r="J407" s="4">
        <v>1576.11</v>
      </c>
      <c r="K407" t="s">
        <v>65</v>
      </c>
      <c r="L407" t="s">
        <v>42</v>
      </c>
      <c r="M407" t="s">
        <v>43</v>
      </c>
      <c r="N407" t="s">
        <v>22</v>
      </c>
      <c r="O407" t="s">
        <v>44</v>
      </c>
    </row>
    <row r="408" spans="1:15" x14ac:dyDescent="0.3">
      <c r="A408" s="2" t="s">
        <v>915</v>
      </c>
      <c r="B408" s="2">
        <v>45880</v>
      </c>
      <c r="C408" t="s">
        <v>791</v>
      </c>
      <c r="D408" t="s">
        <v>95</v>
      </c>
      <c r="E408" t="s">
        <v>185</v>
      </c>
      <c r="F408" t="s">
        <v>185</v>
      </c>
      <c r="G408" s="6">
        <v>5</v>
      </c>
      <c r="H408" s="3">
        <v>5160</v>
      </c>
      <c r="I408" s="5">
        <v>0.14000000000000001</v>
      </c>
      <c r="J408" s="4">
        <v>526.07000000000005</v>
      </c>
      <c r="K408" t="s">
        <v>52</v>
      </c>
      <c r="L408" t="s">
        <v>20</v>
      </c>
      <c r="M408" t="s">
        <v>21</v>
      </c>
      <c r="N408" t="s">
        <v>22</v>
      </c>
      <c r="O408" t="s">
        <v>23</v>
      </c>
    </row>
    <row r="409" spans="1:15" x14ac:dyDescent="0.3">
      <c r="A409" s="2" t="s">
        <v>546</v>
      </c>
      <c r="B409" s="2">
        <v>45763</v>
      </c>
      <c r="C409" t="s">
        <v>477</v>
      </c>
      <c r="D409" t="s">
        <v>34</v>
      </c>
      <c r="E409" t="s">
        <v>107</v>
      </c>
      <c r="F409" t="s">
        <v>107</v>
      </c>
      <c r="G409" s="6">
        <v>3</v>
      </c>
      <c r="H409" s="3">
        <v>11745</v>
      </c>
      <c r="I409" s="5">
        <v>0.13</v>
      </c>
      <c r="J409" s="4">
        <v>1775.01</v>
      </c>
      <c r="K409" t="s">
        <v>28</v>
      </c>
      <c r="L409" t="s">
        <v>53</v>
      </c>
      <c r="M409" t="s">
        <v>54</v>
      </c>
      <c r="N409" t="s">
        <v>55</v>
      </c>
      <c r="O409" t="s">
        <v>44</v>
      </c>
    </row>
    <row r="410" spans="1:15" x14ac:dyDescent="0.3">
      <c r="A410" s="2" t="s">
        <v>871</v>
      </c>
      <c r="B410" s="2">
        <v>45868</v>
      </c>
      <c r="C410" t="s">
        <v>287</v>
      </c>
      <c r="D410" t="s">
        <v>47</v>
      </c>
      <c r="E410" t="s">
        <v>368</v>
      </c>
      <c r="F410" t="s">
        <v>368</v>
      </c>
      <c r="G410" s="6">
        <v>4</v>
      </c>
      <c r="H410" s="3">
        <v>6120</v>
      </c>
      <c r="I410" s="5">
        <v>0.15</v>
      </c>
      <c r="J410" s="4">
        <v>956.93</v>
      </c>
      <c r="K410" t="s">
        <v>65</v>
      </c>
      <c r="L410" t="s">
        <v>29</v>
      </c>
      <c r="M410" t="s">
        <v>30</v>
      </c>
      <c r="N410" t="s">
        <v>31</v>
      </c>
      <c r="O410" t="s">
        <v>44</v>
      </c>
    </row>
    <row r="411" spans="1:15" x14ac:dyDescent="0.3">
      <c r="A411" s="2" t="s">
        <v>937</v>
      </c>
      <c r="B411" s="2">
        <v>45886</v>
      </c>
      <c r="C411" t="s">
        <v>865</v>
      </c>
      <c r="D411" t="s">
        <v>47</v>
      </c>
      <c r="E411" t="s">
        <v>82</v>
      </c>
      <c r="F411" t="s">
        <v>82</v>
      </c>
      <c r="G411" s="6">
        <v>1</v>
      </c>
      <c r="H411" s="3">
        <v>3010</v>
      </c>
      <c r="I411" s="5">
        <v>0.14000000000000001</v>
      </c>
      <c r="J411" s="4">
        <v>491.19</v>
      </c>
      <c r="K411" t="s">
        <v>19</v>
      </c>
      <c r="L411" t="s">
        <v>78</v>
      </c>
      <c r="M411" t="s">
        <v>79</v>
      </c>
      <c r="N411" t="s">
        <v>22</v>
      </c>
      <c r="O411" t="s">
        <v>23</v>
      </c>
    </row>
    <row r="412" spans="1:15" x14ac:dyDescent="0.3">
      <c r="A412" s="2" t="s">
        <v>1064</v>
      </c>
      <c r="B412" s="2">
        <v>45938</v>
      </c>
      <c r="C412" t="s">
        <v>459</v>
      </c>
      <c r="D412" t="s">
        <v>17</v>
      </c>
      <c r="E412" t="s">
        <v>158</v>
      </c>
      <c r="F412" t="s">
        <v>158</v>
      </c>
      <c r="G412" s="6">
        <v>2</v>
      </c>
      <c r="H412" s="3">
        <v>35640</v>
      </c>
      <c r="I412" s="5">
        <v>0.19</v>
      </c>
      <c r="J412" s="4">
        <v>3724.6</v>
      </c>
      <c r="K412" t="s">
        <v>28</v>
      </c>
      <c r="L412" t="s">
        <v>36</v>
      </c>
      <c r="M412" t="s">
        <v>101</v>
      </c>
      <c r="N412" t="s">
        <v>38</v>
      </c>
      <c r="O412" t="s">
        <v>23</v>
      </c>
    </row>
    <row r="413" spans="1:15" x14ac:dyDescent="0.3">
      <c r="A413" s="2" t="s">
        <v>509</v>
      </c>
      <c r="B413" s="2">
        <v>45753</v>
      </c>
      <c r="C413" t="s">
        <v>304</v>
      </c>
      <c r="D413" t="s">
        <v>47</v>
      </c>
      <c r="E413" t="s">
        <v>214</v>
      </c>
      <c r="F413" t="s">
        <v>214</v>
      </c>
      <c r="G413" s="6">
        <v>3</v>
      </c>
      <c r="H413" s="3">
        <v>2403</v>
      </c>
      <c r="I413" s="5">
        <v>0.11</v>
      </c>
      <c r="J413" s="4">
        <v>373.7</v>
      </c>
      <c r="K413" t="s">
        <v>49</v>
      </c>
      <c r="L413" t="s">
        <v>78</v>
      </c>
      <c r="M413" t="s">
        <v>79</v>
      </c>
      <c r="N413" t="s">
        <v>22</v>
      </c>
      <c r="O413" t="s">
        <v>23</v>
      </c>
    </row>
    <row r="414" spans="1:15" x14ac:dyDescent="0.3">
      <c r="A414" s="2" t="s">
        <v>1161</v>
      </c>
      <c r="B414" s="2">
        <v>45972</v>
      </c>
      <c r="C414" t="s">
        <v>152</v>
      </c>
      <c r="D414" t="s">
        <v>95</v>
      </c>
      <c r="E414" t="s">
        <v>185</v>
      </c>
      <c r="F414" t="s">
        <v>185</v>
      </c>
      <c r="G414" s="6">
        <v>2</v>
      </c>
      <c r="H414" s="3">
        <v>1920</v>
      </c>
      <c r="I414" s="5">
        <v>0.2</v>
      </c>
      <c r="J414" s="4">
        <v>260.26</v>
      </c>
      <c r="K414" t="s">
        <v>19</v>
      </c>
      <c r="L414" t="s">
        <v>208</v>
      </c>
      <c r="M414" t="s">
        <v>209</v>
      </c>
      <c r="N414" t="s">
        <v>31</v>
      </c>
      <c r="O414" t="s">
        <v>23</v>
      </c>
    </row>
    <row r="415" spans="1:15" x14ac:dyDescent="0.3">
      <c r="A415" s="2" t="s">
        <v>126</v>
      </c>
      <c r="B415" s="2">
        <v>45670</v>
      </c>
      <c r="C415" t="s">
        <v>127</v>
      </c>
      <c r="D415" t="s">
        <v>34</v>
      </c>
      <c r="E415" t="s">
        <v>35</v>
      </c>
      <c r="F415" t="s">
        <v>35</v>
      </c>
      <c r="G415" s="6">
        <v>2</v>
      </c>
      <c r="H415" s="3">
        <v>2016</v>
      </c>
      <c r="I415" s="5">
        <v>0.16</v>
      </c>
      <c r="J415" s="4">
        <v>365.82</v>
      </c>
      <c r="K415" t="s">
        <v>52</v>
      </c>
      <c r="L415" t="s">
        <v>36</v>
      </c>
      <c r="M415" t="s">
        <v>128</v>
      </c>
      <c r="N415" t="s">
        <v>38</v>
      </c>
      <c r="O415" t="s">
        <v>23</v>
      </c>
    </row>
    <row r="416" spans="1:15" x14ac:dyDescent="0.3">
      <c r="A416" s="2" t="s">
        <v>360</v>
      </c>
      <c r="B416" s="2">
        <v>45715</v>
      </c>
      <c r="C416" t="s">
        <v>349</v>
      </c>
      <c r="D416" t="s">
        <v>47</v>
      </c>
      <c r="E416" t="s">
        <v>214</v>
      </c>
      <c r="F416" t="s">
        <v>214</v>
      </c>
      <c r="G416" s="6">
        <v>1</v>
      </c>
      <c r="H416" s="3">
        <v>747</v>
      </c>
      <c r="I416" s="5">
        <v>0.17</v>
      </c>
      <c r="J416" s="4">
        <v>115.44</v>
      </c>
      <c r="K416" t="s">
        <v>49</v>
      </c>
      <c r="L416" t="s">
        <v>70</v>
      </c>
      <c r="M416" t="s">
        <v>71</v>
      </c>
      <c r="N416" t="s">
        <v>55</v>
      </c>
      <c r="O416" t="s">
        <v>23</v>
      </c>
    </row>
    <row r="417" spans="1:15" x14ac:dyDescent="0.3">
      <c r="A417" s="2" t="s">
        <v>716</v>
      </c>
      <c r="B417" s="2">
        <v>45813</v>
      </c>
      <c r="C417" t="s">
        <v>84</v>
      </c>
      <c r="D417" t="s">
        <v>26</v>
      </c>
      <c r="E417" t="s">
        <v>133</v>
      </c>
      <c r="F417" t="s">
        <v>133</v>
      </c>
      <c r="G417" s="6">
        <v>3</v>
      </c>
      <c r="H417" s="3">
        <v>7560</v>
      </c>
      <c r="I417" s="5">
        <v>0.1</v>
      </c>
      <c r="J417" s="4">
        <v>1190.75</v>
      </c>
      <c r="K417" t="s">
        <v>19</v>
      </c>
      <c r="L417" t="s">
        <v>134</v>
      </c>
      <c r="M417" t="s">
        <v>135</v>
      </c>
      <c r="N417" t="s">
        <v>55</v>
      </c>
      <c r="O417" t="s">
        <v>23</v>
      </c>
    </row>
    <row r="418" spans="1:15" x14ac:dyDescent="0.3">
      <c r="A418" s="2" t="s">
        <v>1031</v>
      </c>
      <c r="B418" s="2">
        <v>45926</v>
      </c>
      <c r="C418" t="s">
        <v>661</v>
      </c>
      <c r="D418" t="s">
        <v>26</v>
      </c>
      <c r="E418" t="s">
        <v>64</v>
      </c>
      <c r="F418" t="s">
        <v>64</v>
      </c>
      <c r="G418" s="6">
        <v>2</v>
      </c>
      <c r="H418" s="3">
        <v>1404</v>
      </c>
      <c r="I418" s="5">
        <v>0.22</v>
      </c>
      <c r="J418" s="4">
        <v>266.5</v>
      </c>
      <c r="K418" t="s">
        <v>65</v>
      </c>
      <c r="L418" t="s">
        <v>159</v>
      </c>
      <c r="M418" t="s">
        <v>160</v>
      </c>
      <c r="N418" t="s">
        <v>38</v>
      </c>
      <c r="O418" t="s">
        <v>44</v>
      </c>
    </row>
    <row r="419" spans="1:15" x14ac:dyDescent="0.3">
      <c r="A419" s="2" t="s">
        <v>1297</v>
      </c>
      <c r="B419" s="2">
        <v>46021</v>
      </c>
      <c r="C419" t="s">
        <v>554</v>
      </c>
      <c r="D419" t="s">
        <v>95</v>
      </c>
      <c r="E419" t="s">
        <v>185</v>
      </c>
      <c r="F419" t="s">
        <v>185</v>
      </c>
      <c r="G419" s="6">
        <v>2</v>
      </c>
      <c r="H419" s="3">
        <v>2136</v>
      </c>
      <c r="I419" s="5">
        <v>0.11</v>
      </c>
      <c r="J419" s="4">
        <v>433.86</v>
      </c>
      <c r="K419" t="s">
        <v>52</v>
      </c>
      <c r="L419" t="s">
        <v>70</v>
      </c>
      <c r="M419" t="s">
        <v>71</v>
      </c>
      <c r="N419" t="s">
        <v>55</v>
      </c>
      <c r="O419" t="s">
        <v>23</v>
      </c>
    </row>
    <row r="420" spans="1:15" x14ac:dyDescent="0.3">
      <c r="A420" s="2" t="s">
        <v>859</v>
      </c>
      <c r="B420" s="2">
        <v>45865</v>
      </c>
      <c r="C420" t="s">
        <v>432</v>
      </c>
      <c r="D420" t="s">
        <v>17</v>
      </c>
      <c r="E420" t="s">
        <v>85</v>
      </c>
      <c r="F420" t="s">
        <v>85</v>
      </c>
      <c r="G420" s="6">
        <v>1</v>
      </c>
      <c r="H420" s="3">
        <v>6150</v>
      </c>
      <c r="I420" s="5">
        <v>0.18</v>
      </c>
      <c r="J420" s="4">
        <v>812.79</v>
      </c>
      <c r="K420" t="s">
        <v>49</v>
      </c>
      <c r="L420" t="s">
        <v>170</v>
      </c>
      <c r="M420" t="s">
        <v>171</v>
      </c>
      <c r="N420" t="s">
        <v>31</v>
      </c>
      <c r="O420" t="s">
        <v>23</v>
      </c>
    </row>
    <row r="421" spans="1:15" x14ac:dyDescent="0.3">
      <c r="A421" s="2" t="s">
        <v>279</v>
      </c>
      <c r="B421" s="2">
        <v>45699</v>
      </c>
      <c r="C421" t="s">
        <v>280</v>
      </c>
      <c r="D421" t="s">
        <v>17</v>
      </c>
      <c r="E421" t="s">
        <v>90</v>
      </c>
      <c r="F421" t="s">
        <v>90</v>
      </c>
      <c r="G421" s="6">
        <v>3</v>
      </c>
      <c r="H421" s="3">
        <v>12300</v>
      </c>
      <c r="I421" s="5">
        <v>0.18</v>
      </c>
      <c r="J421" s="4">
        <v>1215.78</v>
      </c>
      <c r="K421" t="s">
        <v>19</v>
      </c>
      <c r="L421" t="s">
        <v>170</v>
      </c>
      <c r="M421" t="s">
        <v>171</v>
      </c>
      <c r="N421" t="s">
        <v>31</v>
      </c>
      <c r="O421" t="s">
        <v>23</v>
      </c>
    </row>
    <row r="422" spans="1:15" x14ac:dyDescent="0.3">
      <c r="A422" s="2" t="s">
        <v>813</v>
      </c>
      <c r="B422" s="2">
        <v>45849</v>
      </c>
      <c r="C422" t="s">
        <v>359</v>
      </c>
      <c r="D422" t="s">
        <v>47</v>
      </c>
      <c r="E422" t="s">
        <v>214</v>
      </c>
      <c r="F422" t="s">
        <v>214</v>
      </c>
      <c r="G422" s="6">
        <v>4</v>
      </c>
      <c r="H422" s="3">
        <v>3132</v>
      </c>
      <c r="I422" s="5">
        <v>0.13</v>
      </c>
      <c r="J422" s="4">
        <v>341.29</v>
      </c>
      <c r="K422" t="s">
        <v>28</v>
      </c>
      <c r="L422" t="s">
        <v>134</v>
      </c>
      <c r="M422" t="s">
        <v>135</v>
      </c>
      <c r="N422" t="s">
        <v>55</v>
      </c>
      <c r="O422" t="s">
        <v>44</v>
      </c>
    </row>
    <row r="423" spans="1:15" x14ac:dyDescent="0.3">
      <c r="A423" s="2" t="s">
        <v>1236</v>
      </c>
      <c r="B423" s="2">
        <v>45996</v>
      </c>
      <c r="C423" t="s">
        <v>198</v>
      </c>
      <c r="D423" t="s">
        <v>58</v>
      </c>
      <c r="E423" t="s">
        <v>77</v>
      </c>
      <c r="F423" t="s">
        <v>77</v>
      </c>
      <c r="G423" s="6">
        <v>1</v>
      </c>
      <c r="H423" s="3">
        <v>1584</v>
      </c>
      <c r="I423" s="5">
        <v>0.12</v>
      </c>
      <c r="J423" s="4">
        <v>322.58</v>
      </c>
      <c r="K423" t="s">
        <v>19</v>
      </c>
      <c r="L423" t="s">
        <v>36</v>
      </c>
      <c r="M423" t="s">
        <v>37</v>
      </c>
      <c r="N423" t="s">
        <v>38</v>
      </c>
      <c r="O423" t="s">
        <v>23</v>
      </c>
    </row>
    <row r="424" spans="1:15" x14ac:dyDescent="0.3">
      <c r="A424" s="2" t="s">
        <v>401</v>
      </c>
      <c r="B424" s="2">
        <v>45725</v>
      </c>
      <c r="C424" t="s">
        <v>402</v>
      </c>
      <c r="D424" t="s">
        <v>26</v>
      </c>
      <c r="E424" t="s">
        <v>27</v>
      </c>
      <c r="F424" t="s">
        <v>27</v>
      </c>
      <c r="G424" s="6">
        <v>5</v>
      </c>
      <c r="H424" s="3">
        <v>5670</v>
      </c>
      <c r="I424" s="5">
        <v>0.19</v>
      </c>
      <c r="J424" s="4">
        <v>1169.31</v>
      </c>
      <c r="K424" t="s">
        <v>65</v>
      </c>
      <c r="L424" t="s">
        <v>20</v>
      </c>
      <c r="M424" t="s">
        <v>21</v>
      </c>
      <c r="N424" t="s">
        <v>22</v>
      </c>
      <c r="O424" t="s">
        <v>23</v>
      </c>
    </row>
    <row r="425" spans="1:15" x14ac:dyDescent="0.3">
      <c r="A425" s="2" t="s">
        <v>933</v>
      </c>
      <c r="B425" s="2">
        <v>45885</v>
      </c>
      <c r="C425" t="s">
        <v>463</v>
      </c>
      <c r="D425" t="s">
        <v>34</v>
      </c>
      <c r="E425" t="s">
        <v>143</v>
      </c>
      <c r="F425" t="s">
        <v>143</v>
      </c>
      <c r="G425" s="6">
        <v>5</v>
      </c>
      <c r="H425" s="3">
        <v>3280</v>
      </c>
      <c r="I425" s="5">
        <v>0.18</v>
      </c>
      <c r="J425" s="4">
        <v>554.54</v>
      </c>
      <c r="K425" t="s">
        <v>75</v>
      </c>
      <c r="L425" t="s">
        <v>36</v>
      </c>
      <c r="M425" t="s">
        <v>128</v>
      </c>
      <c r="N425" t="s">
        <v>38</v>
      </c>
      <c r="O425" t="s">
        <v>23</v>
      </c>
    </row>
    <row r="426" spans="1:15" x14ac:dyDescent="0.3">
      <c r="A426" s="2" t="s">
        <v>515</v>
      </c>
      <c r="B426" s="2">
        <v>45754</v>
      </c>
      <c r="C426" t="s">
        <v>67</v>
      </c>
      <c r="D426" t="s">
        <v>17</v>
      </c>
      <c r="E426" t="s">
        <v>148</v>
      </c>
      <c r="F426" t="s">
        <v>148</v>
      </c>
      <c r="G426" s="6">
        <v>3</v>
      </c>
      <c r="H426" s="3">
        <v>67200</v>
      </c>
      <c r="I426" s="5">
        <v>0.2</v>
      </c>
      <c r="J426" s="4">
        <v>7898.17</v>
      </c>
      <c r="K426" t="s">
        <v>65</v>
      </c>
      <c r="L426" t="s">
        <v>60</v>
      </c>
      <c r="M426" t="s">
        <v>61</v>
      </c>
      <c r="N426" t="s">
        <v>38</v>
      </c>
      <c r="O426" t="s">
        <v>44</v>
      </c>
    </row>
    <row r="427" spans="1:15" x14ac:dyDescent="0.3">
      <c r="A427" s="2" t="s">
        <v>438</v>
      </c>
      <c r="B427" s="2">
        <v>45733</v>
      </c>
      <c r="C427" t="s">
        <v>439</v>
      </c>
      <c r="D427" t="s">
        <v>95</v>
      </c>
      <c r="E427" t="s">
        <v>185</v>
      </c>
      <c r="F427" t="s">
        <v>185</v>
      </c>
      <c r="G427" s="6">
        <v>3</v>
      </c>
      <c r="H427" s="3">
        <v>3024</v>
      </c>
      <c r="I427" s="5">
        <v>0.16</v>
      </c>
      <c r="J427" s="4">
        <v>333.02</v>
      </c>
      <c r="K427" t="s">
        <v>49</v>
      </c>
      <c r="L427" t="s">
        <v>36</v>
      </c>
      <c r="M427" t="s">
        <v>37</v>
      </c>
      <c r="N427" t="s">
        <v>38</v>
      </c>
      <c r="O427" t="s">
        <v>23</v>
      </c>
    </row>
    <row r="428" spans="1:15" x14ac:dyDescent="0.3">
      <c r="A428" s="2" t="s">
        <v>1069</v>
      </c>
      <c r="B428" s="2">
        <v>45939</v>
      </c>
      <c r="C428" t="s">
        <v>453</v>
      </c>
      <c r="D428" t="s">
        <v>34</v>
      </c>
      <c r="E428" t="s">
        <v>35</v>
      </c>
      <c r="F428" t="s">
        <v>35</v>
      </c>
      <c r="G428" s="6">
        <v>3</v>
      </c>
      <c r="H428" s="3">
        <v>2844</v>
      </c>
      <c r="I428" s="5">
        <v>0.21</v>
      </c>
      <c r="J428" s="4">
        <v>495.33</v>
      </c>
      <c r="K428" t="s">
        <v>49</v>
      </c>
      <c r="L428" t="s">
        <v>149</v>
      </c>
      <c r="M428" t="s">
        <v>175</v>
      </c>
      <c r="N428" t="s">
        <v>38</v>
      </c>
      <c r="O428" t="s">
        <v>23</v>
      </c>
    </row>
    <row r="429" spans="1:15" x14ac:dyDescent="0.3">
      <c r="A429" s="2" t="s">
        <v>1036</v>
      </c>
      <c r="B429" s="2">
        <v>45928</v>
      </c>
      <c r="C429" t="s">
        <v>263</v>
      </c>
      <c r="D429" t="s">
        <v>68</v>
      </c>
      <c r="E429" t="s">
        <v>120</v>
      </c>
      <c r="F429" t="s">
        <v>120</v>
      </c>
      <c r="G429" s="6">
        <v>4</v>
      </c>
      <c r="H429" s="3">
        <v>2268</v>
      </c>
      <c r="I429" s="5">
        <v>0.19</v>
      </c>
      <c r="J429" s="4">
        <v>530</v>
      </c>
      <c r="K429" t="s">
        <v>75</v>
      </c>
      <c r="L429" t="s">
        <v>36</v>
      </c>
      <c r="M429" t="s">
        <v>37</v>
      </c>
      <c r="N429" t="s">
        <v>38</v>
      </c>
      <c r="O429" t="s">
        <v>23</v>
      </c>
    </row>
    <row r="430" spans="1:15" x14ac:dyDescent="0.3">
      <c r="A430" s="2" t="s">
        <v>633</v>
      </c>
      <c r="B430" s="2">
        <v>45789</v>
      </c>
      <c r="C430" t="s">
        <v>229</v>
      </c>
      <c r="D430" t="s">
        <v>26</v>
      </c>
      <c r="E430" t="s">
        <v>118</v>
      </c>
      <c r="F430" t="s">
        <v>118</v>
      </c>
      <c r="G430" s="6">
        <v>3</v>
      </c>
      <c r="H430" s="3">
        <v>4482</v>
      </c>
      <c r="I430" s="5">
        <v>0.17</v>
      </c>
      <c r="J430" s="4">
        <v>700.64</v>
      </c>
      <c r="K430" t="s">
        <v>19</v>
      </c>
      <c r="L430" t="s">
        <v>36</v>
      </c>
      <c r="M430" t="s">
        <v>37</v>
      </c>
      <c r="N430" t="s">
        <v>38</v>
      </c>
      <c r="O430" t="s">
        <v>44</v>
      </c>
    </row>
    <row r="431" spans="1:15" x14ac:dyDescent="0.3">
      <c r="A431" s="2" t="s">
        <v>580</v>
      </c>
      <c r="B431" s="2">
        <v>45773</v>
      </c>
      <c r="C431" t="s">
        <v>266</v>
      </c>
      <c r="D431" t="s">
        <v>26</v>
      </c>
      <c r="E431" t="s">
        <v>27</v>
      </c>
      <c r="F431" t="s">
        <v>27</v>
      </c>
      <c r="G431" s="6">
        <v>2</v>
      </c>
      <c r="H431" s="3">
        <v>2212</v>
      </c>
      <c r="I431" s="5">
        <v>0.21</v>
      </c>
      <c r="J431" s="4">
        <v>514.99</v>
      </c>
      <c r="K431" t="s">
        <v>28</v>
      </c>
      <c r="L431" t="s">
        <v>60</v>
      </c>
      <c r="M431" t="s">
        <v>61</v>
      </c>
      <c r="N431" t="s">
        <v>38</v>
      </c>
      <c r="O431" t="s">
        <v>23</v>
      </c>
    </row>
    <row r="432" spans="1:15" x14ac:dyDescent="0.3">
      <c r="A432" s="2" t="s">
        <v>1126</v>
      </c>
      <c r="B432" s="2">
        <v>45959</v>
      </c>
      <c r="C432" t="s">
        <v>500</v>
      </c>
      <c r="D432" t="s">
        <v>26</v>
      </c>
      <c r="E432" t="s">
        <v>133</v>
      </c>
      <c r="F432" t="s">
        <v>133</v>
      </c>
      <c r="G432" s="6">
        <v>2</v>
      </c>
      <c r="H432" s="3">
        <v>4816</v>
      </c>
      <c r="I432" s="5">
        <v>0.14000000000000001</v>
      </c>
      <c r="J432" s="4">
        <v>984.13</v>
      </c>
      <c r="K432" t="s">
        <v>52</v>
      </c>
      <c r="L432" t="s">
        <v>60</v>
      </c>
      <c r="M432" t="s">
        <v>61</v>
      </c>
      <c r="N432" t="s">
        <v>38</v>
      </c>
      <c r="O432" t="s">
        <v>44</v>
      </c>
    </row>
    <row r="433" spans="1:15" x14ac:dyDescent="0.3">
      <c r="A433" s="2" t="s">
        <v>493</v>
      </c>
      <c r="B433" s="2">
        <v>45748</v>
      </c>
      <c r="C433" t="s">
        <v>294</v>
      </c>
      <c r="D433" t="s">
        <v>34</v>
      </c>
      <c r="E433" t="s">
        <v>302</v>
      </c>
      <c r="F433" t="s">
        <v>302</v>
      </c>
      <c r="G433" s="6">
        <v>2</v>
      </c>
      <c r="H433" s="3">
        <v>5810</v>
      </c>
      <c r="I433" s="5">
        <v>0.17</v>
      </c>
      <c r="J433" s="4">
        <v>1056.31</v>
      </c>
      <c r="K433" t="s">
        <v>75</v>
      </c>
      <c r="L433" t="s">
        <v>36</v>
      </c>
      <c r="M433" t="s">
        <v>101</v>
      </c>
      <c r="N433" t="s">
        <v>38</v>
      </c>
      <c r="O433" t="s">
        <v>23</v>
      </c>
    </row>
    <row r="434" spans="1:15" x14ac:dyDescent="0.3">
      <c r="A434" s="2" t="s">
        <v>840</v>
      </c>
      <c r="B434" s="2">
        <v>45857</v>
      </c>
      <c r="C434" t="s">
        <v>266</v>
      </c>
      <c r="D434" t="s">
        <v>17</v>
      </c>
      <c r="E434" t="s">
        <v>90</v>
      </c>
      <c r="F434" t="s">
        <v>90</v>
      </c>
      <c r="G434" s="6">
        <v>2</v>
      </c>
      <c r="H434" s="3">
        <v>8600</v>
      </c>
      <c r="I434" s="5">
        <v>0.14000000000000001</v>
      </c>
      <c r="J434" s="4">
        <v>892.6</v>
      </c>
      <c r="K434" t="s">
        <v>28</v>
      </c>
      <c r="L434" t="s">
        <v>60</v>
      </c>
      <c r="M434" t="s">
        <v>61</v>
      </c>
      <c r="N434" t="s">
        <v>38</v>
      </c>
      <c r="O434" t="s">
        <v>23</v>
      </c>
    </row>
    <row r="435" spans="1:15" x14ac:dyDescent="0.3">
      <c r="A435" s="2" t="s">
        <v>1288</v>
      </c>
      <c r="B435" s="2">
        <v>46017</v>
      </c>
      <c r="C435" t="s">
        <v>729</v>
      </c>
      <c r="D435" t="s">
        <v>95</v>
      </c>
      <c r="E435" t="s">
        <v>104</v>
      </c>
      <c r="F435" t="s">
        <v>104</v>
      </c>
      <c r="G435" s="6">
        <v>3</v>
      </c>
      <c r="H435" s="3">
        <v>8925</v>
      </c>
      <c r="I435" s="5">
        <v>0.15</v>
      </c>
      <c r="J435" s="4">
        <v>1061.68</v>
      </c>
      <c r="K435" t="s">
        <v>75</v>
      </c>
      <c r="L435" t="s">
        <v>208</v>
      </c>
      <c r="M435" t="s">
        <v>209</v>
      </c>
      <c r="N435" t="s">
        <v>31</v>
      </c>
      <c r="O435" t="s">
        <v>23</v>
      </c>
    </row>
    <row r="436" spans="1:15" x14ac:dyDescent="0.3">
      <c r="A436" s="2" t="s">
        <v>985</v>
      </c>
      <c r="B436" s="2">
        <v>45904</v>
      </c>
      <c r="C436" t="s">
        <v>201</v>
      </c>
      <c r="D436" t="s">
        <v>95</v>
      </c>
      <c r="E436" t="s">
        <v>185</v>
      </c>
      <c r="F436" t="s">
        <v>185</v>
      </c>
      <c r="G436" s="6">
        <v>2</v>
      </c>
      <c r="H436" s="3">
        <v>1968</v>
      </c>
      <c r="I436" s="5">
        <v>0.18</v>
      </c>
      <c r="J436" s="4">
        <v>291.87</v>
      </c>
      <c r="K436" t="s">
        <v>28</v>
      </c>
      <c r="L436" t="s">
        <v>170</v>
      </c>
      <c r="M436" t="s">
        <v>171</v>
      </c>
      <c r="N436" t="s">
        <v>31</v>
      </c>
      <c r="O436" t="s">
        <v>44</v>
      </c>
    </row>
    <row r="437" spans="1:15" x14ac:dyDescent="0.3">
      <c r="A437" s="2" t="s">
        <v>810</v>
      </c>
      <c r="B437" s="2">
        <v>45848</v>
      </c>
      <c r="C437" t="s">
        <v>351</v>
      </c>
      <c r="D437" t="s">
        <v>26</v>
      </c>
      <c r="E437" t="s">
        <v>64</v>
      </c>
      <c r="F437" t="s">
        <v>64</v>
      </c>
      <c r="G437" s="6">
        <v>1</v>
      </c>
      <c r="H437" s="3">
        <v>720</v>
      </c>
      <c r="I437" s="5">
        <v>0.2</v>
      </c>
      <c r="J437" s="4">
        <v>151.56</v>
      </c>
      <c r="K437" t="s">
        <v>52</v>
      </c>
      <c r="L437" t="s">
        <v>134</v>
      </c>
      <c r="M437" t="s">
        <v>135</v>
      </c>
      <c r="N437" t="s">
        <v>55</v>
      </c>
      <c r="O437" t="s">
        <v>23</v>
      </c>
    </row>
    <row r="438" spans="1:15" x14ac:dyDescent="0.3">
      <c r="A438" s="2" t="s">
        <v>742</v>
      </c>
      <c r="B438" s="2">
        <v>45823</v>
      </c>
      <c r="C438" t="s">
        <v>481</v>
      </c>
      <c r="D438" t="s">
        <v>34</v>
      </c>
      <c r="E438" t="s">
        <v>41</v>
      </c>
      <c r="F438" t="s">
        <v>41</v>
      </c>
      <c r="G438" s="6">
        <v>2</v>
      </c>
      <c r="H438" s="3">
        <v>9200</v>
      </c>
      <c r="I438" s="5">
        <v>0.08</v>
      </c>
      <c r="J438" s="4">
        <v>1349.41</v>
      </c>
      <c r="K438" t="s">
        <v>28</v>
      </c>
      <c r="L438" t="s">
        <v>170</v>
      </c>
      <c r="M438" t="s">
        <v>171</v>
      </c>
      <c r="N438" t="s">
        <v>31</v>
      </c>
      <c r="O438" t="s">
        <v>23</v>
      </c>
    </row>
    <row r="439" spans="1:15" x14ac:dyDescent="0.3">
      <c r="A439" s="2" t="s">
        <v>973</v>
      </c>
      <c r="B439" s="2">
        <v>45902</v>
      </c>
      <c r="C439" t="s">
        <v>481</v>
      </c>
      <c r="D439" t="s">
        <v>68</v>
      </c>
      <c r="E439" t="s">
        <v>120</v>
      </c>
      <c r="F439" t="s">
        <v>120</v>
      </c>
      <c r="G439" s="6">
        <v>2</v>
      </c>
      <c r="H439" s="3">
        <v>1120</v>
      </c>
      <c r="I439" s="5">
        <v>0.2</v>
      </c>
      <c r="J439" s="4">
        <v>219.12</v>
      </c>
      <c r="K439" t="s">
        <v>75</v>
      </c>
      <c r="L439" t="s">
        <v>36</v>
      </c>
      <c r="M439" t="s">
        <v>37</v>
      </c>
      <c r="N439" t="s">
        <v>38</v>
      </c>
      <c r="O439" t="s">
        <v>23</v>
      </c>
    </row>
    <row r="440" spans="1:15" x14ac:dyDescent="0.3">
      <c r="A440" s="2" t="s">
        <v>833</v>
      </c>
      <c r="B440" s="2">
        <v>45855</v>
      </c>
      <c r="C440" t="s">
        <v>680</v>
      </c>
      <c r="D440" t="s">
        <v>34</v>
      </c>
      <c r="E440" t="s">
        <v>302</v>
      </c>
      <c r="F440" t="s">
        <v>302</v>
      </c>
      <c r="G440" s="6">
        <v>2</v>
      </c>
      <c r="H440" s="3">
        <v>5460</v>
      </c>
      <c r="I440" s="5">
        <v>0.22</v>
      </c>
      <c r="J440" s="4">
        <v>887.13</v>
      </c>
      <c r="K440" t="s">
        <v>65</v>
      </c>
      <c r="L440" t="s">
        <v>20</v>
      </c>
      <c r="M440" t="s">
        <v>21</v>
      </c>
      <c r="N440" t="s">
        <v>22</v>
      </c>
      <c r="O440" t="s">
        <v>44</v>
      </c>
    </row>
    <row r="441" spans="1:15" x14ac:dyDescent="0.3">
      <c r="A441" s="2" t="s">
        <v>1228</v>
      </c>
      <c r="B441" s="2">
        <v>45994</v>
      </c>
      <c r="C441" t="s">
        <v>337</v>
      </c>
      <c r="D441" t="s">
        <v>68</v>
      </c>
      <c r="E441" t="s">
        <v>120</v>
      </c>
      <c r="F441" t="s">
        <v>120</v>
      </c>
      <c r="G441" s="6">
        <v>1</v>
      </c>
      <c r="H441" s="3">
        <v>525</v>
      </c>
      <c r="I441" s="5">
        <v>0.25</v>
      </c>
      <c r="J441" s="4">
        <v>85.42</v>
      </c>
      <c r="K441" t="s">
        <v>65</v>
      </c>
      <c r="L441" t="s">
        <v>121</v>
      </c>
      <c r="M441" t="s">
        <v>122</v>
      </c>
      <c r="N441" t="s">
        <v>55</v>
      </c>
      <c r="O441" t="s">
        <v>23</v>
      </c>
    </row>
    <row r="442" spans="1:15" x14ac:dyDescent="0.3">
      <c r="A442" s="2" t="s">
        <v>1294</v>
      </c>
      <c r="B442" s="2">
        <v>46020</v>
      </c>
      <c r="C442" t="s">
        <v>196</v>
      </c>
      <c r="D442" t="s">
        <v>47</v>
      </c>
      <c r="E442" t="s">
        <v>194</v>
      </c>
      <c r="F442" t="s">
        <v>194</v>
      </c>
      <c r="G442" s="6">
        <v>1</v>
      </c>
      <c r="H442" s="3">
        <v>51700</v>
      </c>
      <c r="I442" s="5">
        <v>0.06</v>
      </c>
      <c r="J442" s="4">
        <v>3894.37</v>
      </c>
      <c r="K442" t="s">
        <v>28</v>
      </c>
      <c r="L442" t="s">
        <v>78</v>
      </c>
      <c r="M442" t="s">
        <v>79</v>
      </c>
      <c r="N442" t="s">
        <v>22</v>
      </c>
      <c r="O442" t="s">
        <v>23</v>
      </c>
    </row>
    <row r="443" spans="1:15" x14ac:dyDescent="0.3">
      <c r="A443" s="2" t="s">
        <v>1256</v>
      </c>
      <c r="B443" s="2">
        <v>46003</v>
      </c>
      <c r="C443" t="s">
        <v>309</v>
      </c>
      <c r="D443" t="s">
        <v>58</v>
      </c>
      <c r="E443" t="s">
        <v>77</v>
      </c>
      <c r="F443" t="s">
        <v>77</v>
      </c>
      <c r="G443" s="6">
        <v>1</v>
      </c>
      <c r="H443" s="3">
        <v>1602</v>
      </c>
      <c r="I443" s="5">
        <v>0.11</v>
      </c>
      <c r="J443" s="4">
        <v>317.26</v>
      </c>
      <c r="K443" t="s">
        <v>49</v>
      </c>
      <c r="L443" t="s">
        <v>70</v>
      </c>
      <c r="M443" t="s">
        <v>71</v>
      </c>
      <c r="N443" t="s">
        <v>55</v>
      </c>
      <c r="O443" t="s">
        <v>44</v>
      </c>
    </row>
    <row r="444" spans="1:15" x14ac:dyDescent="0.3">
      <c r="A444" s="2" t="s">
        <v>1018</v>
      </c>
      <c r="B444" s="2">
        <v>45921</v>
      </c>
      <c r="C444" t="s">
        <v>429</v>
      </c>
      <c r="D444" t="s">
        <v>47</v>
      </c>
      <c r="E444" t="s">
        <v>368</v>
      </c>
      <c r="F444" t="s">
        <v>368</v>
      </c>
      <c r="G444" s="6">
        <v>3</v>
      </c>
      <c r="H444" s="3">
        <v>4968</v>
      </c>
      <c r="I444" s="5">
        <v>0.08</v>
      </c>
      <c r="J444" s="4">
        <v>563.47</v>
      </c>
      <c r="K444" t="s">
        <v>49</v>
      </c>
      <c r="L444" t="s">
        <v>121</v>
      </c>
      <c r="M444" t="s">
        <v>122</v>
      </c>
      <c r="N444" t="s">
        <v>55</v>
      </c>
      <c r="O444" t="s">
        <v>23</v>
      </c>
    </row>
    <row r="445" spans="1:15" x14ac:dyDescent="0.3">
      <c r="A445" s="2" t="s">
        <v>829</v>
      </c>
      <c r="B445" s="2">
        <v>45854</v>
      </c>
      <c r="C445" t="s">
        <v>187</v>
      </c>
      <c r="D445" t="s">
        <v>58</v>
      </c>
      <c r="E445" t="s">
        <v>138</v>
      </c>
      <c r="F445" t="s">
        <v>138</v>
      </c>
      <c r="G445" s="6">
        <v>3</v>
      </c>
      <c r="H445" s="3">
        <v>5412</v>
      </c>
      <c r="I445" s="5">
        <v>0.18</v>
      </c>
      <c r="J445" s="4">
        <v>940.75</v>
      </c>
      <c r="K445" t="s">
        <v>28</v>
      </c>
      <c r="L445" t="s">
        <v>20</v>
      </c>
      <c r="M445" t="s">
        <v>21</v>
      </c>
      <c r="N445" t="s">
        <v>22</v>
      </c>
      <c r="O445" t="s">
        <v>23</v>
      </c>
    </row>
    <row r="446" spans="1:15" x14ac:dyDescent="0.3">
      <c r="A446" s="2" t="s">
        <v>499</v>
      </c>
      <c r="B446" s="2">
        <v>45750</v>
      </c>
      <c r="C446" t="s">
        <v>500</v>
      </c>
      <c r="D446" t="s">
        <v>26</v>
      </c>
      <c r="E446" t="s">
        <v>118</v>
      </c>
      <c r="F446" t="s">
        <v>118</v>
      </c>
      <c r="G446" s="6">
        <v>2</v>
      </c>
      <c r="H446" s="3">
        <v>2880</v>
      </c>
      <c r="I446" s="5">
        <v>0.2</v>
      </c>
      <c r="J446" s="4">
        <v>484.32</v>
      </c>
      <c r="K446" t="s">
        <v>75</v>
      </c>
      <c r="L446" t="s">
        <v>170</v>
      </c>
      <c r="M446" t="s">
        <v>171</v>
      </c>
      <c r="N446" t="s">
        <v>31</v>
      </c>
      <c r="O446" t="s">
        <v>44</v>
      </c>
    </row>
    <row r="447" spans="1:15" x14ac:dyDescent="0.3">
      <c r="A447" s="2" t="s">
        <v>876</v>
      </c>
      <c r="B447" s="2">
        <v>45869</v>
      </c>
      <c r="C447" t="s">
        <v>261</v>
      </c>
      <c r="D447" t="s">
        <v>47</v>
      </c>
      <c r="E447" t="s">
        <v>82</v>
      </c>
      <c r="F447" t="s">
        <v>82</v>
      </c>
      <c r="G447" s="6">
        <v>3</v>
      </c>
      <c r="H447" s="3">
        <v>9030</v>
      </c>
      <c r="I447" s="5">
        <v>0.14000000000000001</v>
      </c>
      <c r="J447" s="4">
        <v>1178.33</v>
      </c>
      <c r="K447" t="s">
        <v>49</v>
      </c>
      <c r="L447" t="s">
        <v>208</v>
      </c>
      <c r="M447" t="s">
        <v>209</v>
      </c>
      <c r="N447" t="s">
        <v>31</v>
      </c>
      <c r="O447" t="s">
        <v>23</v>
      </c>
    </row>
    <row r="448" spans="1:15" x14ac:dyDescent="0.3">
      <c r="A448" s="2" t="s">
        <v>193</v>
      </c>
      <c r="B448" s="2">
        <v>45679</v>
      </c>
      <c r="C448" t="s">
        <v>132</v>
      </c>
      <c r="D448" t="s">
        <v>47</v>
      </c>
      <c r="E448" t="s">
        <v>194</v>
      </c>
      <c r="F448" t="s">
        <v>194</v>
      </c>
      <c r="G448" s="6">
        <v>2</v>
      </c>
      <c r="H448" s="3">
        <v>93500</v>
      </c>
      <c r="I448" s="5">
        <v>0.15</v>
      </c>
      <c r="J448" s="4">
        <v>7787.76</v>
      </c>
      <c r="K448" t="s">
        <v>49</v>
      </c>
      <c r="L448" t="s">
        <v>20</v>
      </c>
      <c r="M448" t="s">
        <v>21</v>
      </c>
      <c r="N448" t="s">
        <v>22</v>
      </c>
      <c r="O448" t="s">
        <v>23</v>
      </c>
    </row>
    <row r="449" spans="1:15" x14ac:dyDescent="0.3">
      <c r="A449" s="2" t="s">
        <v>1164</v>
      </c>
      <c r="B449" s="2">
        <v>45973</v>
      </c>
      <c r="C449" t="s">
        <v>378</v>
      </c>
      <c r="D449" t="s">
        <v>17</v>
      </c>
      <c r="E449" t="s">
        <v>148</v>
      </c>
      <c r="F449" t="s">
        <v>148</v>
      </c>
      <c r="G449" s="6">
        <v>3</v>
      </c>
      <c r="H449" s="3">
        <v>73920</v>
      </c>
      <c r="I449" s="5">
        <v>0.12</v>
      </c>
      <c r="J449" s="4">
        <v>4866.28</v>
      </c>
      <c r="K449" t="s">
        <v>52</v>
      </c>
      <c r="L449" t="s">
        <v>208</v>
      </c>
      <c r="M449" t="s">
        <v>209</v>
      </c>
      <c r="N449" t="s">
        <v>31</v>
      </c>
      <c r="O449" t="s">
        <v>23</v>
      </c>
    </row>
    <row r="450" spans="1:15" x14ac:dyDescent="0.3">
      <c r="A450" s="2" t="s">
        <v>311</v>
      </c>
      <c r="B450" s="2">
        <v>45704</v>
      </c>
      <c r="C450" t="s">
        <v>312</v>
      </c>
      <c r="D450" t="s">
        <v>26</v>
      </c>
      <c r="E450" t="s">
        <v>118</v>
      </c>
      <c r="F450" t="s">
        <v>118</v>
      </c>
      <c r="G450" s="6">
        <v>4</v>
      </c>
      <c r="H450" s="3">
        <v>5976</v>
      </c>
      <c r="I450" s="5">
        <v>0.17</v>
      </c>
      <c r="J450" s="4">
        <v>1025.1099999999999</v>
      </c>
      <c r="K450" t="s">
        <v>52</v>
      </c>
      <c r="L450" t="s">
        <v>121</v>
      </c>
      <c r="M450" t="s">
        <v>122</v>
      </c>
      <c r="N450" t="s">
        <v>55</v>
      </c>
      <c r="O450" t="s">
        <v>23</v>
      </c>
    </row>
    <row r="451" spans="1:15" x14ac:dyDescent="0.3">
      <c r="A451" s="2" t="s">
        <v>1158</v>
      </c>
      <c r="B451" s="2">
        <v>45971</v>
      </c>
      <c r="C451" t="s">
        <v>489</v>
      </c>
      <c r="D451" t="s">
        <v>95</v>
      </c>
      <c r="E451" t="s">
        <v>104</v>
      </c>
      <c r="F451" t="s">
        <v>104</v>
      </c>
      <c r="G451" s="6">
        <v>3</v>
      </c>
      <c r="H451" s="3">
        <v>9240</v>
      </c>
      <c r="I451" s="5">
        <v>0.12</v>
      </c>
      <c r="J451" s="4">
        <v>1165.96</v>
      </c>
      <c r="K451" t="s">
        <v>49</v>
      </c>
      <c r="L451" t="s">
        <v>97</v>
      </c>
      <c r="M451" t="s">
        <v>163</v>
      </c>
      <c r="N451" t="s">
        <v>31</v>
      </c>
      <c r="O451" t="s">
        <v>44</v>
      </c>
    </row>
    <row r="452" spans="1:15" x14ac:dyDescent="0.3">
      <c r="A452" s="2" t="s">
        <v>884</v>
      </c>
      <c r="B452" s="2">
        <v>45871</v>
      </c>
      <c r="C452" t="s">
        <v>523</v>
      </c>
      <c r="D452" t="s">
        <v>47</v>
      </c>
      <c r="E452" t="s">
        <v>368</v>
      </c>
      <c r="F452" t="s">
        <v>368</v>
      </c>
      <c r="G452" s="6">
        <v>3</v>
      </c>
      <c r="H452" s="3">
        <v>4698</v>
      </c>
      <c r="I452" s="5">
        <v>0.13</v>
      </c>
      <c r="J452" s="4">
        <v>497.04</v>
      </c>
      <c r="K452" t="s">
        <v>65</v>
      </c>
      <c r="L452" t="s">
        <v>36</v>
      </c>
      <c r="M452" t="s">
        <v>37</v>
      </c>
      <c r="N452" t="s">
        <v>38</v>
      </c>
      <c r="O452" t="s">
        <v>44</v>
      </c>
    </row>
    <row r="453" spans="1:15" x14ac:dyDescent="0.3">
      <c r="A453" s="2" t="s">
        <v>330</v>
      </c>
      <c r="B453" s="2">
        <v>45711</v>
      </c>
      <c r="C453" t="s">
        <v>331</v>
      </c>
      <c r="D453" t="s">
        <v>17</v>
      </c>
      <c r="E453" t="s">
        <v>90</v>
      </c>
      <c r="F453" t="s">
        <v>90</v>
      </c>
      <c r="G453" s="6">
        <v>1</v>
      </c>
      <c r="H453" s="3">
        <v>4250</v>
      </c>
      <c r="I453" s="5">
        <v>0.15</v>
      </c>
      <c r="J453" s="4">
        <v>578.54999999999995</v>
      </c>
      <c r="K453" t="s">
        <v>75</v>
      </c>
      <c r="L453" t="s">
        <v>70</v>
      </c>
      <c r="M453" t="s">
        <v>71</v>
      </c>
      <c r="N453" t="s">
        <v>55</v>
      </c>
      <c r="O453" t="s">
        <v>23</v>
      </c>
    </row>
    <row r="454" spans="1:15" x14ac:dyDescent="0.3">
      <c r="A454" s="2" t="s">
        <v>977</v>
      </c>
      <c r="B454" s="2">
        <v>45903</v>
      </c>
      <c r="C454" t="s">
        <v>572</v>
      </c>
      <c r="D454" t="s">
        <v>47</v>
      </c>
      <c r="E454" t="s">
        <v>48</v>
      </c>
      <c r="F454" t="s">
        <v>48</v>
      </c>
      <c r="G454" s="6">
        <v>5</v>
      </c>
      <c r="H454" s="3">
        <v>106250</v>
      </c>
      <c r="I454" s="5">
        <v>0.15</v>
      </c>
      <c r="J454" s="4">
        <v>7912.54</v>
      </c>
      <c r="K454" t="s">
        <v>19</v>
      </c>
      <c r="L454" t="s">
        <v>170</v>
      </c>
      <c r="M454" t="s">
        <v>171</v>
      </c>
      <c r="N454" t="s">
        <v>31</v>
      </c>
      <c r="O454" t="s">
        <v>23</v>
      </c>
    </row>
    <row r="455" spans="1:15" x14ac:dyDescent="0.3">
      <c r="A455" s="2" t="s">
        <v>384</v>
      </c>
      <c r="B455" s="2">
        <v>45720</v>
      </c>
      <c r="C455" t="s">
        <v>333</v>
      </c>
      <c r="D455" t="s">
        <v>34</v>
      </c>
      <c r="E455" t="s">
        <v>41</v>
      </c>
      <c r="F455" t="s">
        <v>41</v>
      </c>
      <c r="G455" s="6">
        <v>3</v>
      </c>
      <c r="H455" s="3">
        <v>13200</v>
      </c>
      <c r="I455" s="5">
        <v>0.12</v>
      </c>
      <c r="J455" s="4">
        <v>1776.58</v>
      </c>
      <c r="K455" t="s">
        <v>65</v>
      </c>
      <c r="L455" t="s">
        <v>121</v>
      </c>
      <c r="M455" t="s">
        <v>122</v>
      </c>
      <c r="N455" t="s">
        <v>55</v>
      </c>
      <c r="O455" t="s">
        <v>23</v>
      </c>
    </row>
    <row r="456" spans="1:15" x14ac:dyDescent="0.3">
      <c r="A456" s="2" t="s">
        <v>694</v>
      </c>
      <c r="B456" s="2">
        <v>45808</v>
      </c>
      <c r="C456" t="s">
        <v>364</v>
      </c>
      <c r="D456" t="s">
        <v>34</v>
      </c>
      <c r="E456" t="s">
        <v>227</v>
      </c>
      <c r="F456" t="s">
        <v>227</v>
      </c>
      <c r="G456" s="6">
        <v>5</v>
      </c>
      <c r="H456" s="3">
        <v>27625</v>
      </c>
      <c r="I456" s="5">
        <v>0.15</v>
      </c>
      <c r="J456" s="4">
        <v>3570.27</v>
      </c>
      <c r="K456" t="s">
        <v>28</v>
      </c>
      <c r="L456" t="s">
        <v>149</v>
      </c>
      <c r="M456" t="s">
        <v>175</v>
      </c>
      <c r="N456" t="s">
        <v>38</v>
      </c>
      <c r="O456" t="s">
        <v>44</v>
      </c>
    </row>
    <row r="457" spans="1:15" x14ac:dyDescent="0.3">
      <c r="A457" s="2" t="s">
        <v>1047</v>
      </c>
      <c r="B457" s="2">
        <v>45932</v>
      </c>
      <c r="C457" t="s">
        <v>496</v>
      </c>
      <c r="D457" t="s">
        <v>17</v>
      </c>
      <c r="E457" t="s">
        <v>158</v>
      </c>
      <c r="F457" t="s">
        <v>158</v>
      </c>
      <c r="G457" s="6">
        <v>5</v>
      </c>
      <c r="H457" s="3">
        <v>92400</v>
      </c>
      <c r="I457" s="5">
        <v>0.16</v>
      </c>
      <c r="J457" s="4">
        <v>7952.16</v>
      </c>
      <c r="K457" t="s">
        <v>28</v>
      </c>
      <c r="L457" t="s">
        <v>86</v>
      </c>
      <c r="M457" t="s">
        <v>87</v>
      </c>
      <c r="N457" t="s">
        <v>38</v>
      </c>
      <c r="O457" t="s">
        <v>23</v>
      </c>
    </row>
    <row r="458" spans="1:15" x14ac:dyDescent="0.3">
      <c r="A458" s="2" t="s">
        <v>919</v>
      </c>
      <c r="B458" s="2">
        <v>45881</v>
      </c>
      <c r="C458" t="s">
        <v>556</v>
      </c>
      <c r="D458" t="s">
        <v>34</v>
      </c>
      <c r="E458" t="s">
        <v>227</v>
      </c>
      <c r="F458" t="s">
        <v>227</v>
      </c>
      <c r="G458" s="6">
        <v>1</v>
      </c>
      <c r="H458" s="3">
        <v>5395</v>
      </c>
      <c r="I458" s="5">
        <v>0.17</v>
      </c>
      <c r="J458" s="4">
        <v>531.47</v>
      </c>
      <c r="K458" t="s">
        <v>49</v>
      </c>
      <c r="L458" t="s">
        <v>20</v>
      </c>
      <c r="M458" t="s">
        <v>21</v>
      </c>
      <c r="N458" t="s">
        <v>22</v>
      </c>
      <c r="O458" t="s">
        <v>23</v>
      </c>
    </row>
    <row r="459" spans="1:15" x14ac:dyDescent="0.3">
      <c r="A459" s="2" t="s">
        <v>778</v>
      </c>
      <c r="B459" s="2">
        <v>45837</v>
      </c>
      <c r="C459" t="s">
        <v>779</v>
      </c>
      <c r="D459" t="s">
        <v>68</v>
      </c>
      <c r="E459" t="s">
        <v>69</v>
      </c>
      <c r="F459" t="s">
        <v>69</v>
      </c>
      <c r="G459" s="6">
        <v>4</v>
      </c>
      <c r="H459" s="3">
        <v>1560</v>
      </c>
      <c r="I459" s="5">
        <v>0.22</v>
      </c>
      <c r="J459" s="4">
        <v>256.3</v>
      </c>
      <c r="K459" t="s">
        <v>65</v>
      </c>
      <c r="L459" t="s">
        <v>60</v>
      </c>
      <c r="M459" t="s">
        <v>61</v>
      </c>
      <c r="N459" t="s">
        <v>38</v>
      </c>
      <c r="O459" t="s">
        <v>44</v>
      </c>
    </row>
    <row r="460" spans="1:15" x14ac:dyDescent="0.3">
      <c r="A460" s="2" t="s">
        <v>1090</v>
      </c>
      <c r="B460" s="2">
        <v>45945</v>
      </c>
      <c r="C460" t="s">
        <v>483</v>
      </c>
      <c r="D460" t="s">
        <v>47</v>
      </c>
      <c r="E460" t="s">
        <v>240</v>
      </c>
      <c r="F460" t="s">
        <v>240</v>
      </c>
      <c r="G460" s="6">
        <v>1</v>
      </c>
      <c r="H460" s="3">
        <v>2225</v>
      </c>
      <c r="I460" s="5">
        <v>0.11</v>
      </c>
      <c r="J460" s="4">
        <v>293.10000000000002</v>
      </c>
      <c r="K460" t="s">
        <v>28</v>
      </c>
      <c r="L460" t="s">
        <v>97</v>
      </c>
      <c r="M460" t="s">
        <v>98</v>
      </c>
      <c r="N460" t="s">
        <v>31</v>
      </c>
      <c r="O460" t="s">
        <v>23</v>
      </c>
    </row>
    <row r="461" spans="1:15" x14ac:dyDescent="0.3">
      <c r="A461" s="2" t="s">
        <v>448</v>
      </c>
      <c r="B461" s="2">
        <v>45734</v>
      </c>
      <c r="C461" t="s">
        <v>81</v>
      </c>
      <c r="D461" t="s">
        <v>17</v>
      </c>
      <c r="E461" t="s">
        <v>85</v>
      </c>
      <c r="F461" t="s">
        <v>85</v>
      </c>
      <c r="G461" s="6">
        <v>5</v>
      </c>
      <c r="H461" s="3">
        <v>32250</v>
      </c>
      <c r="I461" s="5">
        <v>0.14000000000000001</v>
      </c>
      <c r="J461" s="4">
        <v>4202.5600000000004</v>
      </c>
      <c r="K461" t="s">
        <v>19</v>
      </c>
      <c r="L461" t="s">
        <v>97</v>
      </c>
      <c r="M461" t="s">
        <v>163</v>
      </c>
      <c r="N461" t="s">
        <v>31</v>
      </c>
      <c r="O461" t="s">
        <v>44</v>
      </c>
    </row>
    <row r="462" spans="1:15" x14ac:dyDescent="0.3">
      <c r="A462" s="2" t="s">
        <v>1091</v>
      </c>
      <c r="B462" s="2">
        <v>45945</v>
      </c>
      <c r="C462" t="s">
        <v>312</v>
      </c>
      <c r="D462" t="s">
        <v>47</v>
      </c>
      <c r="E462" t="s">
        <v>48</v>
      </c>
      <c r="F462" t="s">
        <v>48</v>
      </c>
      <c r="G462" s="6">
        <v>2</v>
      </c>
      <c r="H462" s="3">
        <v>40500</v>
      </c>
      <c r="I462" s="5">
        <v>0.19</v>
      </c>
      <c r="J462" s="4">
        <v>3084.66</v>
      </c>
      <c r="K462" t="s">
        <v>19</v>
      </c>
      <c r="L462" t="s">
        <v>134</v>
      </c>
      <c r="M462" t="s">
        <v>135</v>
      </c>
      <c r="N462" t="s">
        <v>55</v>
      </c>
      <c r="O462" t="s">
        <v>23</v>
      </c>
    </row>
    <row r="463" spans="1:15" x14ac:dyDescent="0.3">
      <c r="A463" s="2" t="s">
        <v>616</v>
      </c>
      <c r="B463" s="2">
        <v>45786</v>
      </c>
      <c r="C463" t="s">
        <v>617</v>
      </c>
      <c r="D463" t="s">
        <v>17</v>
      </c>
      <c r="E463" t="s">
        <v>90</v>
      </c>
      <c r="F463" t="s">
        <v>90</v>
      </c>
      <c r="G463" s="6">
        <v>3</v>
      </c>
      <c r="H463" s="3">
        <v>12300</v>
      </c>
      <c r="I463" s="5">
        <v>0.18</v>
      </c>
      <c r="J463" s="4">
        <v>1093.5</v>
      </c>
      <c r="K463" t="s">
        <v>75</v>
      </c>
      <c r="L463" t="s">
        <v>70</v>
      </c>
      <c r="M463" t="s">
        <v>71</v>
      </c>
      <c r="N463" t="s">
        <v>55</v>
      </c>
      <c r="O463" t="s">
        <v>23</v>
      </c>
    </row>
    <row r="464" spans="1:15" x14ac:dyDescent="0.3">
      <c r="A464" s="2" t="s">
        <v>1257</v>
      </c>
      <c r="B464" s="2">
        <v>46005</v>
      </c>
      <c r="C464" t="s">
        <v>441</v>
      </c>
      <c r="D464" t="s">
        <v>95</v>
      </c>
      <c r="E464" t="s">
        <v>125</v>
      </c>
      <c r="F464" t="s">
        <v>125</v>
      </c>
      <c r="G464" s="6">
        <v>1</v>
      </c>
      <c r="H464" s="3">
        <v>1440</v>
      </c>
      <c r="I464" s="5">
        <v>0.2</v>
      </c>
      <c r="J464" s="4">
        <v>238.94</v>
      </c>
      <c r="K464" t="s">
        <v>75</v>
      </c>
      <c r="L464" t="s">
        <v>29</v>
      </c>
      <c r="M464" t="s">
        <v>30</v>
      </c>
      <c r="N464" t="s">
        <v>31</v>
      </c>
      <c r="O464" t="s">
        <v>23</v>
      </c>
    </row>
    <row r="465" spans="1:15" x14ac:dyDescent="0.3">
      <c r="A465" s="2" t="s">
        <v>1109</v>
      </c>
      <c r="B465" s="2">
        <v>45953</v>
      </c>
      <c r="C465" t="s">
        <v>677</v>
      </c>
      <c r="D465" t="s">
        <v>17</v>
      </c>
      <c r="E465" t="s">
        <v>90</v>
      </c>
      <c r="F465" t="s">
        <v>90</v>
      </c>
      <c r="G465" s="6">
        <v>1</v>
      </c>
      <c r="H465" s="3">
        <v>3950</v>
      </c>
      <c r="I465" s="5">
        <v>0.21</v>
      </c>
      <c r="J465" s="4">
        <v>318.17</v>
      </c>
      <c r="K465" t="s">
        <v>19</v>
      </c>
      <c r="L465" t="s">
        <v>134</v>
      </c>
      <c r="M465" t="s">
        <v>135</v>
      </c>
      <c r="N465" t="s">
        <v>55</v>
      </c>
      <c r="O465" t="s">
        <v>23</v>
      </c>
    </row>
    <row r="466" spans="1:15" x14ac:dyDescent="0.3">
      <c r="A466" s="2" t="s">
        <v>1166</v>
      </c>
      <c r="B466" s="2">
        <v>45973</v>
      </c>
      <c r="C466" t="s">
        <v>33</v>
      </c>
      <c r="D466" t="s">
        <v>95</v>
      </c>
      <c r="E466" t="s">
        <v>104</v>
      </c>
      <c r="F466" t="s">
        <v>104</v>
      </c>
      <c r="G466" s="6">
        <v>2</v>
      </c>
      <c r="H466" s="3">
        <v>5810</v>
      </c>
      <c r="I466" s="5">
        <v>0.17</v>
      </c>
      <c r="J466" s="4">
        <v>760.26</v>
      </c>
      <c r="K466" t="s">
        <v>65</v>
      </c>
      <c r="L466" t="s">
        <v>97</v>
      </c>
      <c r="M466" t="s">
        <v>163</v>
      </c>
      <c r="N466" t="s">
        <v>31</v>
      </c>
      <c r="O466" t="s">
        <v>23</v>
      </c>
    </row>
    <row r="467" spans="1:15" x14ac:dyDescent="0.3">
      <c r="A467" s="2" t="s">
        <v>1211</v>
      </c>
      <c r="B467" s="2">
        <v>45990</v>
      </c>
      <c r="C467" t="s">
        <v>865</v>
      </c>
      <c r="D467" t="s">
        <v>68</v>
      </c>
      <c r="E467" t="s">
        <v>153</v>
      </c>
      <c r="F467" t="s">
        <v>153</v>
      </c>
      <c r="G467" s="6">
        <v>2</v>
      </c>
      <c r="H467" s="3">
        <v>1944</v>
      </c>
      <c r="I467" s="5">
        <v>0.19</v>
      </c>
      <c r="J467" s="4">
        <v>321.35000000000002</v>
      </c>
      <c r="K467" t="s">
        <v>75</v>
      </c>
      <c r="L467" t="s">
        <v>86</v>
      </c>
      <c r="M467" t="s">
        <v>87</v>
      </c>
      <c r="N467" t="s">
        <v>38</v>
      </c>
      <c r="O467" t="s">
        <v>44</v>
      </c>
    </row>
    <row r="468" spans="1:15" x14ac:dyDescent="0.3">
      <c r="A468" s="2" t="s">
        <v>728</v>
      </c>
      <c r="B468" s="2">
        <v>45817</v>
      </c>
      <c r="C468" t="s">
        <v>729</v>
      </c>
      <c r="D468" t="s">
        <v>58</v>
      </c>
      <c r="E468" t="s">
        <v>59</v>
      </c>
      <c r="F468" t="s">
        <v>59</v>
      </c>
      <c r="G468" s="6">
        <v>4</v>
      </c>
      <c r="H468" s="3">
        <v>1458</v>
      </c>
      <c r="I468" s="5">
        <v>0.19</v>
      </c>
      <c r="J468" s="4">
        <v>281.89</v>
      </c>
      <c r="K468" t="s">
        <v>75</v>
      </c>
      <c r="L468" t="s">
        <v>42</v>
      </c>
      <c r="M468" t="s">
        <v>43</v>
      </c>
      <c r="N468" t="s">
        <v>22</v>
      </c>
      <c r="O468" t="s">
        <v>44</v>
      </c>
    </row>
    <row r="469" spans="1:15" x14ac:dyDescent="0.3">
      <c r="A469" s="2" t="s">
        <v>922</v>
      </c>
      <c r="B469" s="2">
        <v>45883</v>
      </c>
      <c r="C469" t="s">
        <v>453</v>
      </c>
      <c r="D469" t="s">
        <v>34</v>
      </c>
      <c r="E469" t="s">
        <v>35</v>
      </c>
      <c r="F469" t="s">
        <v>35</v>
      </c>
      <c r="G469" s="6">
        <v>3</v>
      </c>
      <c r="H469" s="3">
        <v>3096</v>
      </c>
      <c r="I469" s="5">
        <v>0.14000000000000001</v>
      </c>
      <c r="J469" s="4">
        <v>674.26</v>
      </c>
      <c r="K469" t="s">
        <v>19</v>
      </c>
      <c r="L469" t="s">
        <v>149</v>
      </c>
      <c r="M469" t="s">
        <v>150</v>
      </c>
      <c r="N469" t="s">
        <v>38</v>
      </c>
      <c r="O469" t="s">
        <v>44</v>
      </c>
    </row>
    <row r="470" spans="1:15" x14ac:dyDescent="0.3">
      <c r="A470" s="2" t="s">
        <v>449</v>
      </c>
      <c r="B470" s="2">
        <v>45735</v>
      </c>
      <c r="C470" t="s">
        <v>450</v>
      </c>
      <c r="D470" t="s">
        <v>47</v>
      </c>
      <c r="E470" t="s">
        <v>48</v>
      </c>
      <c r="F470" t="s">
        <v>48</v>
      </c>
      <c r="G470" s="6">
        <v>2</v>
      </c>
      <c r="H470" s="3">
        <v>41000</v>
      </c>
      <c r="I470" s="5">
        <v>0.18</v>
      </c>
      <c r="J470" s="4">
        <v>6099.92</v>
      </c>
      <c r="K470" t="s">
        <v>19</v>
      </c>
      <c r="L470" t="s">
        <v>97</v>
      </c>
      <c r="M470" t="s">
        <v>163</v>
      </c>
      <c r="N470" t="s">
        <v>31</v>
      </c>
      <c r="O470" t="s">
        <v>23</v>
      </c>
    </row>
    <row r="471" spans="1:15" x14ac:dyDescent="0.3">
      <c r="A471" s="2" t="s">
        <v>734</v>
      </c>
      <c r="B471" s="2">
        <v>45819</v>
      </c>
      <c r="C471" t="s">
        <v>735</v>
      </c>
      <c r="D471" t="s">
        <v>17</v>
      </c>
      <c r="E471" t="s">
        <v>148</v>
      </c>
      <c r="F471" t="s">
        <v>148</v>
      </c>
      <c r="G471" s="6">
        <v>2</v>
      </c>
      <c r="H471" s="3">
        <v>43680</v>
      </c>
      <c r="I471" s="5">
        <v>0.22</v>
      </c>
      <c r="J471" s="4">
        <v>3567.39</v>
      </c>
      <c r="K471" t="s">
        <v>19</v>
      </c>
      <c r="L471" t="s">
        <v>149</v>
      </c>
      <c r="M471" t="s">
        <v>150</v>
      </c>
      <c r="N471" t="s">
        <v>38</v>
      </c>
      <c r="O471" t="s">
        <v>23</v>
      </c>
    </row>
    <row r="472" spans="1:15" x14ac:dyDescent="0.3">
      <c r="A472" s="2" t="s">
        <v>898</v>
      </c>
      <c r="B472" s="2">
        <v>45874</v>
      </c>
      <c r="C472" t="s">
        <v>319</v>
      </c>
      <c r="D472" t="s">
        <v>95</v>
      </c>
      <c r="E472" t="s">
        <v>125</v>
      </c>
      <c r="F472" t="s">
        <v>125</v>
      </c>
      <c r="G472" s="6">
        <v>1</v>
      </c>
      <c r="H472" s="3">
        <v>1494</v>
      </c>
      <c r="I472" s="5">
        <v>0.17</v>
      </c>
      <c r="J472" s="4">
        <v>265.26</v>
      </c>
      <c r="K472" t="s">
        <v>49</v>
      </c>
      <c r="L472" t="s">
        <v>60</v>
      </c>
      <c r="M472" t="s">
        <v>61</v>
      </c>
      <c r="N472" t="s">
        <v>38</v>
      </c>
      <c r="O472" t="s">
        <v>23</v>
      </c>
    </row>
    <row r="473" spans="1:15" x14ac:dyDescent="0.3">
      <c r="A473" s="2" t="s">
        <v>684</v>
      </c>
      <c r="B473" s="2">
        <v>45806</v>
      </c>
      <c r="C473" t="s">
        <v>257</v>
      </c>
      <c r="D473" t="s">
        <v>17</v>
      </c>
      <c r="E473" t="s">
        <v>18</v>
      </c>
      <c r="F473" t="s">
        <v>18</v>
      </c>
      <c r="G473" s="6">
        <v>3</v>
      </c>
      <c r="H473" s="3">
        <v>69300</v>
      </c>
      <c r="I473" s="5">
        <v>0.23</v>
      </c>
      <c r="J473" s="4">
        <v>4079.01</v>
      </c>
      <c r="K473" t="s">
        <v>28</v>
      </c>
      <c r="L473" t="s">
        <v>78</v>
      </c>
      <c r="M473" t="s">
        <v>79</v>
      </c>
      <c r="N473" t="s">
        <v>22</v>
      </c>
      <c r="O473" t="s">
        <v>23</v>
      </c>
    </row>
    <row r="474" spans="1:15" x14ac:dyDescent="0.3">
      <c r="A474" s="2" t="s">
        <v>1146</v>
      </c>
      <c r="B474" s="2">
        <v>45967</v>
      </c>
      <c r="C474" t="s">
        <v>463</v>
      </c>
      <c r="D474" t="s">
        <v>68</v>
      </c>
      <c r="E474" t="s">
        <v>237</v>
      </c>
      <c r="F474" t="s">
        <v>237</v>
      </c>
      <c r="G474" s="6">
        <v>2</v>
      </c>
      <c r="H474" s="3">
        <v>1458</v>
      </c>
      <c r="I474" s="5">
        <v>0.19</v>
      </c>
      <c r="J474" s="4">
        <v>230.62</v>
      </c>
      <c r="K474" t="s">
        <v>49</v>
      </c>
      <c r="L474" t="s">
        <v>170</v>
      </c>
      <c r="M474" t="s">
        <v>171</v>
      </c>
      <c r="N474" t="s">
        <v>31</v>
      </c>
      <c r="O474" t="s">
        <v>44</v>
      </c>
    </row>
    <row r="475" spans="1:15" x14ac:dyDescent="0.3">
      <c r="A475" s="2" t="s">
        <v>1087</v>
      </c>
      <c r="B475" s="2">
        <v>45944</v>
      </c>
      <c r="C475" t="s">
        <v>687</v>
      </c>
      <c r="D475" t="s">
        <v>68</v>
      </c>
      <c r="E475" t="s">
        <v>120</v>
      </c>
      <c r="F475" t="s">
        <v>120</v>
      </c>
      <c r="G475" s="6">
        <v>1</v>
      </c>
      <c r="H475" s="3">
        <v>574</v>
      </c>
      <c r="I475" s="5">
        <v>0.18</v>
      </c>
      <c r="J475" s="4">
        <v>111.61</v>
      </c>
      <c r="K475" t="s">
        <v>28</v>
      </c>
      <c r="L475" t="s">
        <v>170</v>
      </c>
      <c r="M475" t="s">
        <v>171</v>
      </c>
      <c r="N475" t="s">
        <v>31</v>
      </c>
      <c r="O475" t="s">
        <v>44</v>
      </c>
    </row>
    <row r="476" spans="1:15" x14ac:dyDescent="0.3">
      <c r="A476" s="2" t="s">
        <v>634</v>
      </c>
      <c r="B476" s="2">
        <v>45790</v>
      </c>
      <c r="C476" t="s">
        <v>223</v>
      </c>
      <c r="D476" t="s">
        <v>17</v>
      </c>
      <c r="E476" t="s">
        <v>85</v>
      </c>
      <c r="F476" t="s">
        <v>85</v>
      </c>
      <c r="G476" s="6">
        <v>2</v>
      </c>
      <c r="H476" s="3">
        <v>12600</v>
      </c>
      <c r="I476" s="5">
        <v>0.16</v>
      </c>
      <c r="J476" s="4">
        <v>2014.4</v>
      </c>
      <c r="K476" t="s">
        <v>28</v>
      </c>
      <c r="L476" t="s">
        <v>36</v>
      </c>
      <c r="M476" t="s">
        <v>37</v>
      </c>
      <c r="N476" t="s">
        <v>38</v>
      </c>
      <c r="O476" t="s">
        <v>23</v>
      </c>
    </row>
    <row r="477" spans="1:15" x14ac:dyDescent="0.3">
      <c r="A477" s="2" t="s">
        <v>614</v>
      </c>
      <c r="B477" s="2">
        <v>45786</v>
      </c>
      <c r="C477" t="s">
        <v>314</v>
      </c>
      <c r="D477" t="s">
        <v>34</v>
      </c>
      <c r="E477" t="s">
        <v>35</v>
      </c>
      <c r="F477" t="s">
        <v>35</v>
      </c>
      <c r="G477" s="6">
        <v>3</v>
      </c>
      <c r="H477" s="3">
        <v>2952</v>
      </c>
      <c r="I477" s="5">
        <v>0.18</v>
      </c>
      <c r="J477" s="4">
        <v>526.04</v>
      </c>
      <c r="K477" t="s">
        <v>49</v>
      </c>
      <c r="L477" t="s">
        <v>121</v>
      </c>
      <c r="M477" t="s">
        <v>122</v>
      </c>
      <c r="N477" t="s">
        <v>55</v>
      </c>
      <c r="O477" t="s">
        <v>23</v>
      </c>
    </row>
    <row r="478" spans="1:15" x14ac:dyDescent="0.3">
      <c r="A478" s="2" t="s">
        <v>819</v>
      </c>
      <c r="B478" s="2">
        <v>45850</v>
      </c>
      <c r="C478" t="s">
        <v>467</v>
      </c>
      <c r="D478" t="s">
        <v>47</v>
      </c>
      <c r="E478" t="s">
        <v>194</v>
      </c>
      <c r="F478" t="s">
        <v>194</v>
      </c>
      <c r="G478" s="6">
        <v>1</v>
      </c>
      <c r="H478" s="3">
        <v>47300</v>
      </c>
      <c r="I478" s="5">
        <v>0.14000000000000001</v>
      </c>
      <c r="J478" s="4">
        <v>5634.64</v>
      </c>
      <c r="K478" t="s">
        <v>28</v>
      </c>
      <c r="L478" t="s">
        <v>170</v>
      </c>
      <c r="M478" t="s">
        <v>171</v>
      </c>
      <c r="N478" t="s">
        <v>31</v>
      </c>
      <c r="O478" t="s">
        <v>44</v>
      </c>
    </row>
    <row r="479" spans="1:15" x14ac:dyDescent="0.3">
      <c r="A479" s="2" t="s">
        <v>798</v>
      </c>
      <c r="B479" s="2">
        <v>45845</v>
      </c>
      <c r="C479" t="s">
        <v>190</v>
      </c>
      <c r="D479" t="s">
        <v>68</v>
      </c>
      <c r="E479" t="s">
        <v>120</v>
      </c>
      <c r="F479" t="s">
        <v>120</v>
      </c>
      <c r="G479" s="6">
        <v>2</v>
      </c>
      <c r="H479" s="3">
        <v>1008</v>
      </c>
      <c r="I479" s="5">
        <v>0.28000000000000003</v>
      </c>
      <c r="J479" s="4">
        <v>209.23</v>
      </c>
      <c r="K479" t="s">
        <v>65</v>
      </c>
      <c r="L479" t="s">
        <v>20</v>
      </c>
      <c r="M479" t="s">
        <v>21</v>
      </c>
      <c r="N479" t="s">
        <v>22</v>
      </c>
      <c r="O479" t="s">
        <v>44</v>
      </c>
    </row>
    <row r="480" spans="1:15" x14ac:dyDescent="0.3">
      <c r="A480" s="2" t="s">
        <v>968</v>
      </c>
      <c r="B480" s="2">
        <v>45900</v>
      </c>
      <c r="C480" t="s">
        <v>124</v>
      </c>
      <c r="D480" t="s">
        <v>34</v>
      </c>
      <c r="E480" t="s">
        <v>143</v>
      </c>
      <c r="F480" t="s">
        <v>143</v>
      </c>
      <c r="G480" s="6">
        <v>2</v>
      </c>
      <c r="H480" s="3">
        <v>1280</v>
      </c>
      <c r="I480" s="5">
        <v>0.2</v>
      </c>
      <c r="J480" s="4">
        <v>224.92</v>
      </c>
      <c r="K480" t="s">
        <v>65</v>
      </c>
      <c r="L480" t="s">
        <v>20</v>
      </c>
      <c r="M480" t="s">
        <v>21</v>
      </c>
      <c r="N480" t="s">
        <v>22</v>
      </c>
      <c r="O480" t="s">
        <v>44</v>
      </c>
    </row>
    <row r="481" spans="1:15" x14ac:dyDescent="0.3">
      <c r="A481" s="2" t="s">
        <v>1299</v>
      </c>
      <c r="B481" s="2">
        <v>46022</v>
      </c>
      <c r="C481" t="s">
        <v>299</v>
      </c>
      <c r="D481" t="s">
        <v>26</v>
      </c>
      <c r="E481" t="s">
        <v>27</v>
      </c>
      <c r="F481" t="s">
        <v>27</v>
      </c>
      <c r="G481" s="6">
        <v>1</v>
      </c>
      <c r="H481" s="3">
        <v>1106</v>
      </c>
      <c r="I481" s="5">
        <v>0.21</v>
      </c>
      <c r="J481" s="4">
        <v>168.58</v>
      </c>
      <c r="K481" t="s">
        <v>49</v>
      </c>
      <c r="L481" t="s">
        <v>121</v>
      </c>
      <c r="M481" t="s">
        <v>122</v>
      </c>
      <c r="N481" t="s">
        <v>55</v>
      </c>
      <c r="O481" t="s">
        <v>23</v>
      </c>
    </row>
    <row r="482" spans="1:15" x14ac:dyDescent="0.3">
      <c r="A482" s="2" t="s">
        <v>173</v>
      </c>
      <c r="B482" s="2">
        <v>45677</v>
      </c>
      <c r="C482" t="s">
        <v>157</v>
      </c>
      <c r="D482" t="s">
        <v>34</v>
      </c>
      <c r="E482" t="s">
        <v>143</v>
      </c>
      <c r="F482" t="s">
        <v>143</v>
      </c>
      <c r="G482" s="6">
        <v>3</v>
      </c>
      <c r="H482" s="3">
        <v>1920</v>
      </c>
      <c r="I482" s="5">
        <v>0.2</v>
      </c>
      <c r="J482" s="4">
        <v>366.78</v>
      </c>
      <c r="K482" t="s">
        <v>49</v>
      </c>
      <c r="L482" t="s">
        <v>78</v>
      </c>
      <c r="M482" t="s">
        <v>79</v>
      </c>
      <c r="N482" t="s">
        <v>22</v>
      </c>
      <c r="O482" t="s">
        <v>23</v>
      </c>
    </row>
    <row r="483" spans="1:15" x14ac:dyDescent="0.3">
      <c r="A483" s="2" t="s">
        <v>521</v>
      </c>
      <c r="B483" s="2">
        <v>45755</v>
      </c>
      <c r="C483" t="s">
        <v>285</v>
      </c>
      <c r="D483" t="s">
        <v>34</v>
      </c>
      <c r="E483" t="s">
        <v>143</v>
      </c>
      <c r="F483" t="s">
        <v>143</v>
      </c>
      <c r="G483" s="6">
        <v>2</v>
      </c>
      <c r="H483" s="3">
        <v>1328</v>
      </c>
      <c r="I483" s="5">
        <v>0.17</v>
      </c>
      <c r="J483" s="4">
        <v>203.2</v>
      </c>
      <c r="K483" t="s">
        <v>65</v>
      </c>
      <c r="L483" t="s">
        <v>97</v>
      </c>
      <c r="M483" t="s">
        <v>163</v>
      </c>
      <c r="N483" t="s">
        <v>31</v>
      </c>
      <c r="O483" t="s">
        <v>44</v>
      </c>
    </row>
    <row r="484" spans="1:15" x14ac:dyDescent="0.3">
      <c r="A484" s="2" t="s">
        <v>1196</v>
      </c>
      <c r="B484" s="2">
        <v>45985</v>
      </c>
      <c r="C484" t="s">
        <v>100</v>
      </c>
      <c r="D484" t="s">
        <v>47</v>
      </c>
      <c r="E484" t="s">
        <v>368</v>
      </c>
      <c r="F484" t="s">
        <v>368</v>
      </c>
      <c r="G484" s="6">
        <v>3</v>
      </c>
      <c r="H484" s="3">
        <v>4806</v>
      </c>
      <c r="I484" s="5">
        <v>0.11</v>
      </c>
      <c r="J484" s="4">
        <v>606.88</v>
      </c>
      <c r="K484" t="s">
        <v>19</v>
      </c>
      <c r="L484" t="s">
        <v>60</v>
      </c>
      <c r="M484" t="s">
        <v>61</v>
      </c>
      <c r="N484" t="s">
        <v>38</v>
      </c>
      <c r="O484" t="s">
        <v>23</v>
      </c>
    </row>
    <row r="485" spans="1:15" x14ac:dyDescent="0.3">
      <c r="A485" s="2" t="s">
        <v>583</v>
      </c>
      <c r="B485" s="2">
        <v>45774</v>
      </c>
      <c r="C485" t="s">
        <v>337</v>
      </c>
      <c r="D485" t="s">
        <v>68</v>
      </c>
      <c r="E485" t="s">
        <v>153</v>
      </c>
      <c r="F485" t="s">
        <v>153</v>
      </c>
      <c r="G485" s="6">
        <v>2</v>
      </c>
      <c r="H485" s="3">
        <v>1992</v>
      </c>
      <c r="I485" s="5">
        <v>0.17</v>
      </c>
      <c r="J485" s="4">
        <v>370.73</v>
      </c>
      <c r="K485" t="s">
        <v>19</v>
      </c>
      <c r="L485" t="s">
        <v>86</v>
      </c>
      <c r="M485" t="s">
        <v>87</v>
      </c>
      <c r="N485" t="s">
        <v>38</v>
      </c>
      <c r="O485" t="s">
        <v>23</v>
      </c>
    </row>
    <row r="486" spans="1:15" x14ac:dyDescent="0.3">
      <c r="A486" s="2" t="s">
        <v>88</v>
      </c>
      <c r="B486" s="2">
        <v>45664</v>
      </c>
      <c r="C486" t="s">
        <v>89</v>
      </c>
      <c r="D486" t="s">
        <v>17</v>
      </c>
      <c r="E486" t="s">
        <v>90</v>
      </c>
      <c r="F486" t="s">
        <v>90</v>
      </c>
      <c r="G486" s="6">
        <v>2</v>
      </c>
      <c r="H486" s="3">
        <v>7800</v>
      </c>
      <c r="I486" s="5">
        <v>0.22</v>
      </c>
      <c r="J486" s="4">
        <v>906.67</v>
      </c>
      <c r="K486" t="s">
        <v>65</v>
      </c>
      <c r="L486" t="s">
        <v>53</v>
      </c>
      <c r="M486" t="s">
        <v>54</v>
      </c>
      <c r="N486" t="s">
        <v>55</v>
      </c>
      <c r="O486" t="s">
        <v>44</v>
      </c>
    </row>
    <row r="487" spans="1:15" x14ac:dyDescent="0.3">
      <c r="A487" s="2" t="s">
        <v>210</v>
      </c>
      <c r="B487" s="2">
        <v>45683</v>
      </c>
      <c r="C487" t="s">
        <v>211</v>
      </c>
      <c r="D487" t="s">
        <v>26</v>
      </c>
      <c r="E487" t="s">
        <v>133</v>
      </c>
      <c r="F487" t="s">
        <v>133</v>
      </c>
      <c r="G487" s="6">
        <v>2</v>
      </c>
      <c r="H487" s="3">
        <v>4648</v>
      </c>
      <c r="I487" s="5">
        <v>0.17</v>
      </c>
      <c r="J487" s="4">
        <v>782.8</v>
      </c>
      <c r="K487" t="s">
        <v>19</v>
      </c>
      <c r="L487" t="s">
        <v>78</v>
      </c>
      <c r="M487" t="s">
        <v>79</v>
      </c>
      <c r="N487" t="s">
        <v>22</v>
      </c>
      <c r="O487" t="s">
        <v>44</v>
      </c>
    </row>
    <row r="488" spans="1:15" x14ac:dyDescent="0.3">
      <c r="A488" s="2" t="s">
        <v>860</v>
      </c>
      <c r="B488" s="2">
        <v>45865</v>
      </c>
      <c r="C488" t="s">
        <v>424</v>
      </c>
      <c r="D488" t="s">
        <v>95</v>
      </c>
      <c r="E488" t="s">
        <v>104</v>
      </c>
      <c r="F488" t="s">
        <v>104</v>
      </c>
      <c r="G488" s="6">
        <v>2</v>
      </c>
      <c r="H488" s="3">
        <v>6230</v>
      </c>
      <c r="I488" s="5">
        <v>0.11</v>
      </c>
      <c r="J488" s="4">
        <v>897.22</v>
      </c>
      <c r="K488" t="s">
        <v>19</v>
      </c>
      <c r="L488" t="s">
        <v>159</v>
      </c>
      <c r="M488" t="s">
        <v>160</v>
      </c>
      <c r="N488" t="s">
        <v>38</v>
      </c>
      <c r="O488" t="s">
        <v>23</v>
      </c>
    </row>
    <row r="489" spans="1:15" x14ac:dyDescent="0.3">
      <c r="A489" s="2" t="s">
        <v>387</v>
      </c>
      <c r="B489" s="2">
        <v>45721</v>
      </c>
      <c r="C489" t="s">
        <v>364</v>
      </c>
      <c r="D489" t="s">
        <v>26</v>
      </c>
      <c r="E489" t="s">
        <v>118</v>
      </c>
      <c r="F489" t="s">
        <v>118</v>
      </c>
      <c r="G489" s="6">
        <v>4</v>
      </c>
      <c r="H489" s="3">
        <v>5832</v>
      </c>
      <c r="I489" s="5">
        <v>0.19</v>
      </c>
      <c r="J489" s="4">
        <v>1124.24</v>
      </c>
      <c r="K489" t="s">
        <v>52</v>
      </c>
      <c r="L489" t="s">
        <v>53</v>
      </c>
      <c r="M489" t="s">
        <v>54</v>
      </c>
      <c r="N489" t="s">
        <v>55</v>
      </c>
      <c r="O489" t="s">
        <v>44</v>
      </c>
    </row>
    <row r="490" spans="1:15" x14ac:dyDescent="0.3">
      <c r="A490" s="2" t="s">
        <v>1134</v>
      </c>
      <c r="B490" s="2">
        <v>45963</v>
      </c>
      <c r="C490" t="s">
        <v>169</v>
      </c>
      <c r="D490" t="s">
        <v>58</v>
      </c>
      <c r="E490" t="s">
        <v>178</v>
      </c>
      <c r="F490" t="s">
        <v>178</v>
      </c>
      <c r="G490" s="6">
        <v>2</v>
      </c>
      <c r="H490" s="3">
        <v>1105</v>
      </c>
      <c r="I490" s="5">
        <v>0.15</v>
      </c>
      <c r="J490" s="4">
        <v>173.94</v>
      </c>
      <c r="K490" t="s">
        <v>65</v>
      </c>
      <c r="L490" t="s">
        <v>36</v>
      </c>
      <c r="M490" t="s">
        <v>37</v>
      </c>
      <c r="N490" t="s">
        <v>38</v>
      </c>
      <c r="O490" t="s">
        <v>44</v>
      </c>
    </row>
    <row r="491" spans="1:15" x14ac:dyDescent="0.3">
      <c r="A491" s="2" t="s">
        <v>901</v>
      </c>
      <c r="B491" s="2">
        <v>45875</v>
      </c>
      <c r="C491" t="s">
        <v>779</v>
      </c>
      <c r="D491" t="s">
        <v>47</v>
      </c>
      <c r="E491" t="s">
        <v>240</v>
      </c>
      <c r="F491" t="s">
        <v>240</v>
      </c>
      <c r="G491" s="6">
        <v>1</v>
      </c>
      <c r="H491" s="3">
        <v>2125</v>
      </c>
      <c r="I491" s="5">
        <v>0.15</v>
      </c>
      <c r="J491" s="4">
        <v>275.85000000000002</v>
      </c>
      <c r="K491" t="s">
        <v>28</v>
      </c>
      <c r="L491" t="s">
        <v>36</v>
      </c>
      <c r="M491" t="s">
        <v>101</v>
      </c>
      <c r="N491" t="s">
        <v>38</v>
      </c>
      <c r="O491" t="s">
        <v>44</v>
      </c>
    </row>
    <row r="492" spans="1:15" x14ac:dyDescent="0.3">
      <c r="A492" s="2" t="s">
        <v>969</v>
      </c>
      <c r="B492" s="2">
        <v>45901</v>
      </c>
      <c r="C492" t="s">
        <v>81</v>
      </c>
      <c r="D492" t="s">
        <v>58</v>
      </c>
      <c r="E492" t="s">
        <v>178</v>
      </c>
      <c r="F492" t="s">
        <v>178</v>
      </c>
      <c r="G492" s="6">
        <v>4</v>
      </c>
      <c r="H492" s="3">
        <v>2288</v>
      </c>
      <c r="I492" s="5">
        <v>0.12</v>
      </c>
      <c r="J492" s="4">
        <v>343.04</v>
      </c>
      <c r="K492" t="s">
        <v>49</v>
      </c>
      <c r="L492" t="s">
        <v>121</v>
      </c>
      <c r="M492" t="s">
        <v>122</v>
      </c>
      <c r="N492" t="s">
        <v>55</v>
      </c>
      <c r="O492" t="s">
        <v>44</v>
      </c>
    </row>
    <row r="493" spans="1:15" x14ac:dyDescent="0.3">
      <c r="A493" s="2" t="s">
        <v>144</v>
      </c>
      <c r="B493" s="2">
        <v>45674</v>
      </c>
      <c r="C493" t="s">
        <v>145</v>
      </c>
      <c r="D493" t="s">
        <v>58</v>
      </c>
      <c r="E493" t="s">
        <v>59</v>
      </c>
      <c r="F493" t="s">
        <v>59</v>
      </c>
      <c r="G493" s="6">
        <v>3</v>
      </c>
      <c r="H493" s="3">
        <v>1147.5</v>
      </c>
      <c r="I493" s="5">
        <v>0.15</v>
      </c>
      <c r="J493" s="4">
        <v>206.89</v>
      </c>
      <c r="K493" t="s">
        <v>75</v>
      </c>
      <c r="L493" t="s">
        <v>97</v>
      </c>
      <c r="M493" t="s">
        <v>98</v>
      </c>
      <c r="N493" t="s">
        <v>31</v>
      </c>
      <c r="O493" t="s">
        <v>23</v>
      </c>
    </row>
    <row r="494" spans="1:15" x14ac:dyDescent="0.3">
      <c r="A494" s="2" t="s">
        <v>164</v>
      </c>
      <c r="B494" s="2">
        <v>45675</v>
      </c>
      <c r="C494" t="s">
        <v>165</v>
      </c>
      <c r="D494" t="s">
        <v>58</v>
      </c>
      <c r="E494" t="s">
        <v>59</v>
      </c>
      <c r="F494" t="s">
        <v>59</v>
      </c>
      <c r="G494" s="6">
        <v>2</v>
      </c>
      <c r="H494" s="3">
        <v>702</v>
      </c>
      <c r="I494" s="5">
        <v>0.22</v>
      </c>
      <c r="J494" s="4">
        <v>108.5</v>
      </c>
      <c r="K494" t="s">
        <v>19</v>
      </c>
      <c r="L494" t="s">
        <v>20</v>
      </c>
      <c r="M494" t="s">
        <v>21</v>
      </c>
      <c r="N494" t="s">
        <v>22</v>
      </c>
      <c r="O494" t="s">
        <v>23</v>
      </c>
    </row>
    <row r="495" spans="1:15" x14ac:dyDescent="0.3">
      <c r="A495" s="2" t="s">
        <v>475</v>
      </c>
      <c r="B495" s="2">
        <v>45743</v>
      </c>
      <c r="C495" t="s">
        <v>140</v>
      </c>
      <c r="D495" t="s">
        <v>34</v>
      </c>
      <c r="E495" t="s">
        <v>143</v>
      </c>
      <c r="F495" t="s">
        <v>143</v>
      </c>
      <c r="G495" s="6">
        <v>2</v>
      </c>
      <c r="H495" s="3">
        <v>1264</v>
      </c>
      <c r="I495" s="5">
        <v>0.21</v>
      </c>
      <c r="J495" s="4">
        <v>212.06</v>
      </c>
      <c r="K495" t="s">
        <v>52</v>
      </c>
      <c r="L495" t="s">
        <v>29</v>
      </c>
      <c r="M495" t="s">
        <v>30</v>
      </c>
      <c r="N495" t="s">
        <v>31</v>
      </c>
      <c r="O495" t="s">
        <v>23</v>
      </c>
    </row>
    <row r="496" spans="1:15" x14ac:dyDescent="0.3">
      <c r="A496" s="2" t="s">
        <v>228</v>
      </c>
      <c r="B496" s="2">
        <v>45686</v>
      </c>
      <c r="C496" t="s">
        <v>229</v>
      </c>
      <c r="D496" t="s">
        <v>95</v>
      </c>
      <c r="E496" t="s">
        <v>96</v>
      </c>
      <c r="F496" t="s">
        <v>96</v>
      </c>
      <c r="G496" s="6">
        <v>2</v>
      </c>
      <c r="H496" s="3">
        <v>1314</v>
      </c>
      <c r="I496" s="5">
        <v>0.27</v>
      </c>
      <c r="J496" s="4">
        <v>209.19</v>
      </c>
      <c r="K496" t="s">
        <v>19</v>
      </c>
      <c r="L496" t="s">
        <v>42</v>
      </c>
      <c r="M496" t="s">
        <v>43</v>
      </c>
      <c r="N496" t="s">
        <v>22</v>
      </c>
      <c r="O496" t="s">
        <v>23</v>
      </c>
    </row>
    <row r="497" spans="1:15" x14ac:dyDescent="0.3">
      <c r="A497" s="2" t="s">
        <v>756</v>
      </c>
      <c r="B497" s="2">
        <v>45828</v>
      </c>
      <c r="C497" t="s">
        <v>130</v>
      </c>
      <c r="D497" t="s">
        <v>34</v>
      </c>
      <c r="E497" t="s">
        <v>302</v>
      </c>
      <c r="F497" t="s">
        <v>302</v>
      </c>
      <c r="G497" s="6">
        <v>2</v>
      </c>
      <c r="H497" s="3">
        <v>5950</v>
      </c>
      <c r="I497" s="5">
        <v>0.15</v>
      </c>
      <c r="J497" s="4">
        <v>676.9</v>
      </c>
      <c r="K497" t="s">
        <v>65</v>
      </c>
      <c r="L497" t="s">
        <v>97</v>
      </c>
      <c r="M497" t="s">
        <v>98</v>
      </c>
      <c r="N497" t="s">
        <v>31</v>
      </c>
      <c r="O497" t="s">
        <v>44</v>
      </c>
    </row>
    <row r="498" spans="1:15" x14ac:dyDescent="0.3">
      <c r="A498" s="2" t="s">
        <v>519</v>
      </c>
      <c r="B498" s="2">
        <v>45755</v>
      </c>
      <c r="C498" t="s">
        <v>520</v>
      </c>
      <c r="D498" t="s">
        <v>58</v>
      </c>
      <c r="E498" t="s">
        <v>138</v>
      </c>
      <c r="F498" t="s">
        <v>138</v>
      </c>
      <c r="G498" s="6">
        <v>3</v>
      </c>
      <c r="H498" s="3">
        <v>5346</v>
      </c>
      <c r="I498" s="5">
        <v>0.19</v>
      </c>
      <c r="J498" s="4">
        <v>883.82</v>
      </c>
      <c r="K498" t="s">
        <v>75</v>
      </c>
      <c r="L498" t="s">
        <v>60</v>
      </c>
      <c r="M498" t="s">
        <v>61</v>
      </c>
      <c r="N498" t="s">
        <v>38</v>
      </c>
      <c r="O498" t="s">
        <v>44</v>
      </c>
    </row>
    <row r="499" spans="1:15" x14ac:dyDescent="0.3">
      <c r="A499" s="2" t="s">
        <v>916</v>
      </c>
      <c r="B499" s="2">
        <v>45881</v>
      </c>
      <c r="C499" t="s">
        <v>294</v>
      </c>
      <c r="D499" t="s">
        <v>58</v>
      </c>
      <c r="E499" t="s">
        <v>77</v>
      </c>
      <c r="F499" t="s">
        <v>77</v>
      </c>
      <c r="G499" s="6">
        <v>1</v>
      </c>
      <c r="H499" s="3">
        <v>1440</v>
      </c>
      <c r="I499" s="5">
        <v>0.2</v>
      </c>
      <c r="J499" s="4">
        <v>343.27</v>
      </c>
      <c r="K499" t="s">
        <v>19</v>
      </c>
      <c r="L499" t="s">
        <v>20</v>
      </c>
      <c r="M499" t="s">
        <v>21</v>
      </c>
      <c r="N499" t="s">
        <v>22</v>
      </c>
      <c r="O499" t="s">
        <v>23</v>
      </c>
    </row>
    <row r="500" spans="1:15" x14ac:dyDescent="0.3">
      <c r="A500" s="2" t="s">
        <v>329</v>
      </c>
      <c r="B500" s="2">
        <v>45710</v>
      </c>
      <c r="C500" t="s">
        <v>261</v>
      </c>
      <c r="D500" t="s">
        <v>95</v>
      </c>
      <c r="E500" t="s">
        <v>125</v>
      </c>
      <c r="F500" t="s">
        <v>125</v>
      </c>
      <c r="G500" s="6">
        <v>5</v>
      </c>
      <c r="H500" s="3">
        <v>8280</v>
      </c>
      <c r="I500" s="5">
        <v>0.08</v>
      </c>
      <c r="J500" s="4">
        <v>1395.52</v>
      </c>
      <c r="K500" t="s">
        <v>28</v>
      </c>
      <c r="L500" t="s">
        <v>29</v>
      </c>
      <c r="M500" t="s">
        <v>30</v>
      </c>
      <c r="N500" t="s">
        <v>31</v>
      </c>
      <c r="O500" t="s">
        <v>44</v>
      </c>
    </row>
    <row r="501" spans="1:15" x14ac:dyDescent="0.3">
      <c r="A501" s="2" t="s">
        <v>1234</v>
      </c>
      <c r="B501" s="2">
        <v>45996</v>
      </c>
      <c r="C501" t="s">
        <v>307</v>
      </c>
      <c r="D501" t="s">
        <v>17</v>
      </c>
      <c r="E501" t="s">
        <v>110</v>
      </c>
      <c r="F501" t="s">
        <v>110</v>
      </c>
      <c r="G501" s="6">
        <v>1</v>
      </c>
      <c r="H501" s="3">
        <v>5460</v>
      </c>
      <c r="I501" s="5">
        <v>0.16</v>
      </c>
      <c r="J501" s="4">
        <v>578.67999999999995</v>
      </c>
      <c r="K501" t="s">
        <v>28</v>
      </c>
      <c r="L501" t="s">
        <v>20</v>
      </c>
      <c r="M501" t="s">
        <v>21</v>
      </c>
      <c r="N501" t="s">
        <v>22</v>
      </c>
      <c r="O501" t="s">
        <v>44</v>
      </c>
    </row>
    <row r="502" spans="1:15" x14ac:dyDescent="0.3">
      <c r="A502" s="2" t="s">
        <v>99</v>
      </c>
      <c r="B502" s="2">
        <v>45665</v>
      </c>
      <c r="C502" t="s">
        <v>100</v>
      </c>
      <c r="D502" t="s">
        <v>34</v>
      </c>
      <c r="E502" t="s">
        <v>35</v>
      </c>
      <c r="F502" t="s">
        <v>35</v>
      </c>
      <c r="G502" s="6">
        <v>2</v>
      </c>
      <c r="H502" s="3">
        <v>1872</v>
      </c>
      <c r="I502" s="5">
        <v>0.22</v>
      </c>
      <c r="J502" s="4">
        <v>446.97</v>
      </c>
      <c r="K502" t="s">
        <v>52</v>
      </c>
      <c r="L502" t="s">
        <v>36</v>
      </c>
      <c r="M502" t="s">
        <v>101</v>
      </c>
      <c r="N502" t="s">
        <v>38</v>
      </c>
      <c r="O502" t="s">
        <v>23</v>
      </c>
    </row>
    <row r="503" spans="1:15" x14ac:dyDescent="0.3">
      <c r="A503" s="2" t="s">
        <v>1194</v>
      </c>
      <c r="B503" s="2">
        <v>45984</v>
      </c>
      <c r="C503" t="s">
        <v>507</v>
      </c>
      <c r="D503" t="s">
        <v>34</v>
      </c>
      <c r="E503" t="s">
        <v>107</v>
      </c>
      <c r="F503" t="s">
        <v>107</v>
      </c>
      <c r="G503" s="6">
        <v>3</v>
      </c>
      <c r="H503" s="3">
        <v>10665</v>
      </c>
      <c r="I503" s="5">
        <v>0.21</v>
      </c>
      <c r="J503" s="4">
        <v>1545.46</v>
      </c>
      <c r="K503" t="s">
        <v>75</v>
      </c>
      <c r="L503" t="s">
        <v>36</v>
      </c>
      <c r="M503" t="s">
        <v>128</v>
      </c>
      <c r="N503" t="s">
        <v>38</v>
      </c>
      <c r="O503" t="s">
        <v>44</v>
      </c>
    </row>
    <row r="504" spans="1:15" x14ac:dyDescent="0.3">
      <c r="A504" s="2" t="s">
        <v>1136</v>
      </c>
      <c r="B504" s="2">
        <v>45963</v>
      </c>
      <c r="C504" t="s">
        <v>67</v>
      </c>
      <c r="D504" t="s">
        <v>17</v>
      </c>
      <c r="E504" t="s">
        <v>148</v>
      </c>
      <c r="F504" t="s">
        <v>148</v>
      </c>
      <c r="G504" s="6">
        <v>4</v>
      </c>
      <c r="H504" s="3">
        <v>96320</v>
      </c>
      <c r="I504" s="5">
        <v>0.14000000000000001</v>
      </c>
      <c r="J504" s="4">
        <v>9920</v>
      </c>
      <c r="K504" t="s">
        <v>19</v>
      </c>
      <c r="L504" t="s">
        <v>97</v>
      </c>
      <c r="M504" t="s">
        <v>98</v>
      </c>
      <c r="N504" t="s">
        <v>31</v>
      </c>
      <c r="O504" t="s">
        <v>23</v>
      </c>
    </row>
    <row r="505" spans="1:15" x14ac:dyDescent="0.3">
      <c r="A505" s="2" t="s">
        <v>156</v>
      </c>
      <c r="B505" s="2">
        <v>45675</v>
      </c>
      <c r="C505" t="s">
        <v>157</v>
      </c>
      <c r="D505" t="s">
        <v>17</v>
      </c>
      <c r="E505" t="s">
        <v>158</v>
      </c>
      <c r="F505" t="s">
        <v>158</v>
      </c>
      <c r="G505" s="6">
        <v>1</v>
      </c>
      <c r="H505" s="3">
        <v>18700</v>
      </c>
      <c r="I505" s="5">
        <v>0.15</v>
      </c>
      <c r="J505" s="4">
        <v>2291.89</v>
      </c>
      <c r="K505" t="s">
        <v>49</v>
      </c>
      <c r="L505" t="s">
        <v>159</v>
      </c>
      <c r="M505" t="s">
        <v>160</v>
      </c>
      <c r="N505" t="s">
        <v>38</v>
      </c>
      <c r="O505" t="s">
        <v>44</v>
      </c>
    </row>
    <row r="506" spans="1:15" x14ac:dyDescent="0.3">
      <c r="A506" s="2" t="s">
        <v>903</v>
      </c>
      <c r="B506" s="2">
        <v>45877</v>
      </c>
      <c r="C506" t="s">
        <v>309</v>
      </c>
      <c r="D506" t="s">
        <v>95</v>
      </c>
      <c r="E506" t="s">
        <v>96</v>
      </c>
      <c r="F506" t="s">
        <v>96</v>
      </c>
      <c r="G506" s="6">
        <v>2</v>
      </c>
      <c r="H506" s="3">
        <v>1440</v>
      </c>
      <c r="I506" s="5">
        <v>0.2</v>
      </c>
      <c r="J506" s="4">
        <v>277.47000000000003</v>
      </c>
      <c r="K506" t="s">
        <v>19</v>
      </c>
      <c r="L506" t="s">
        <v>121</v>
      </c>
      <c r="M506" t="s">
        <v>122</v>
      </c>
      <c r="N506" t="s">
        <v>55</v>
      </c>
      <c r="O506" t="s">
        <v>23</v>
      </c>
    </row>
    <row r="507" spans="1:15" x14ac:dyDescent="0.3">
      <c r="A507" s="2" t="s">
        <v>204</v>
      </c>
      <c r="B507" s="2">
        <v>45682</v>
      </c>
      <c r="C507" t="s">
        <v>109</v>
      </c>
      <c r="D507" t="s">
        <v>34</v>
      </c>
      <c r="E507" t="s">
        <v>35</v>
      </c>
      <c r="F507" t="s">
        <v>35</v>
      </c>
      <c r="G507" s="6">
        <v>2</v>
      </c>
      <c r="H507" s="3">
        <v>2064</v>
      </c>
      <c r="I507" s="5">
        <v>0.14000000000000001</v>
      </c>
      <c r="J507" s="4">
        <v>377.06</v>
      </c>
      <c r="K507" t="s">
        <v>28</v>
      </c>
      <c r="L507" t="s">
        <v>97</v>
      </c>
      <c r="M507" t="s">
        <v>163</v>
      </c>
      <c r="N507" t="s">
        <v>31</v>
      </c>
      <c r="O507" t="s">
        <v>23</v>
      </c>
    </row>
    <row r="508" spans="1:15" x14ac:dyDescent="0.3">
      <c r="A508" s="2" t="s">
        <v>568</v>
      </c>
      <c r="B508" s="2">
        <v>45768</v>
      </c>
      <c r="C508" t="s">
        <v>201</v>
      </c>
      <c r="D508" t="s">
        <v>17</v>
      </c>
      <c r="E508" t="s">
        <v>90</v>
      </c>
      <c r="F508" t="s">
        <v>90</v>
      </c>
      <c r="G508" s="6">
        <v>1</v>
      </c>
      <c r="H508" s="3">
        <v>4150</v>
      </c>
      <c r="I508" s="5">
        <v>0.17</v>
      </c>
      <c r="J508" s="4">
        <v>461.81</v>
      </c>
      <c r="K508" t="s">
        <v>52</v>
      </c>
      <c r="L508" t="s">
        <v>42</v>
      </c>
      <c r="M508" t="s">
        <v>43</v>
      </c>
      <c r="N508" t="s">
        <v>22</v>
      </c>
      <c r="O508" t="s">
        <v>44</v>
      </c>
    </row>
    <row r="509" spans="1:15" x14ac:dyDescent="0.3">
      <c r="A509" s="2" t="s">
        <v>882</v>
      </c>
      <c r="B509" s="2">
        <v>45871</v>
      </c>
      <c r="C509" t="s">
        <v>621</v>
      </c>
      <c r="D509" t="s">
        <v>26</v>
      </c>
      <c r="E509" t="s">
        <v>118</v>
      </c>
      <c r="F509" t="s">
        <v>118</v>
      </c>
      <c r="G509" s="6">
        <v>3</v>
      </c>
      <c r="H509" s="3">
        <v>4536</v>
      </c>
      <c r="I509" s="5">
        <v>0.16</v>
      </c>
      <c r="J509" s="4">
        <v>938.71</v>
      </c>
      <c r="K509" t="s">
        <v>49</v>
      </c>
      <c r="L509" t="s">
        <v>36</v>
      </c>
      <c r="M509" t="s">
        <v>128</v>
      </c>
      <c r="N509" t="s">
        <v>38</v>
      </c>
      <c r="O509" t="s">
        <v>23</v>
      </c>
    </row>
    <row r="510" spans="1:15" x14ac:dyDescent="0.3">
      <c r="A510" s="2" t="s">
        <v>265</v>
      </c>
      <c r="B510" s="2">
        <v>45694</v>
      </c>
      <c r="C510" t="s">
        <v>266</v>
      </c>
      <c r="D510" t="s">
        <v>58</v>
      </c>
      <c r="E510" t="s">
        <v>59</v>
      </c>
      <c r="F510" t="s">
        <v>59</v>
      </c>
      <c r="G510" s="6">
        <v>1</v>
      </c>
      <c r="H510" s="3">
        <v>364.5</v>
      </c>
      <c r="I510" s="5">
        <v>0.19</v>
      </c>
      <c r="J510" s="4">
        <v>55.86</v>
      </c>
      <c r="K510" t="s">
        <v>19</v>
      </c>
      <c r="L510" t="s">
        <v>121</v>
      </c>
      <c r="M510" t="s">
        <v>122</v>
      </c>
      <c r="N510" t="s">
        <v>55</v>
      </c>
      <c r="O510" t="s">
        <v>23</v>
      </c>
    </row>
    <row r="511" spans="1:15" x14ac:dyDescent="0.3">
      <c r="A511" s="2" t="s">
        <v>761</v>
      </c>
      <c r="B511" s="2">
        <v>45830</v>
      </c>
      <c r="C511" t="s">
        <v>540</v>
      </c>
      <c r="D511" t="s">
        <v>47</v>
      </c>
      <c r="E511" t="s">
        <v>214</v>
      </c>
      <c r="F511" t="s">
        <v>214</v>
      </c>
      <c r="G511" s="6">
        <v>3</v>
      </c>
      <c r="H511" s="3">
        <v>2349</v>
      </c>
      <c r="I511" s="5">
        <v>0.13</v>
      </c>
      <c r="J511" s="4">
        <v>283.41000000000003</v>
      </c>
      <c r="K511" t="s">
        <v>49</v>
      </c>
      <c r="L511" t="s">
        <v>97</v>
      </c>
      <c r="M511" t="s">
        <v>98</v>
      </c>
      <c r="N511" t="s">
        <v>31</v>
      </c>
      <c r="O511" t="s">
        <v>23</v>
      </c>
    </row>
    <row r="512" spans="1:15" x14ac:dyDescent="0.3">
      <c r="A512" s="2" t="s">
        <v>1246</v>
      </c>
      <c r="B512" s="2">
        <v>46000</v>
      </c>
      <c r="C512" t="s">
        <v>526</v>
      </c>
      <c r="D512" t="s">
        <v>34</v>
      </c>
      <c r="E512" t="s">
        <v>107</v>
      </c>
      <c r="F512" t="s">
        <v>107</v>
      </c>
      <c r="G512" s="6">
        <v>1</v>
      </c>
      <c r="H512" s="3">
        <v>4050</v>
      </c>
      <c r="I512" s="5">
        <v>0.1</v>
      </c>
      <c r="J512" s="4">
        <v>584.5</v>
      </c>
      <c r="K512" t="s">
        <v>65</v>
      </c>
      <c r="L512" t="s">
        <v>20</v>
      </c>
      <c r="M512" t="s">
        <v>21</v>
      </c>
      <c r="N512" t="s">
        <v>22</v>
      </c>
      <c r="O512" t="s">
        <v>23</v>
      </c>
    </row>
    <row r="513" spans="1:15" x14ac:dyDescent="0.3">
      <c r="A513" s="2" t="s">
        <v>752</v>
      </c>
      <c r="B513" s="2">
        <v>45827</v>
      </c>
      <c r="C513" t="s">
        <v>477</v>
      </c>
      <c r="D513" t="s">
        <v>47</v>
      </c>
      <c r="E513" t="s">
        <v>368</v>
      </c>
      <c r="F513" t="s">
        <v>368</v>
      </c>
      <c r="G513" s="6">
        <v>1</v>
      </c>
      <c r="H513" s="3">
        <v>1512</v>
      </c>
      <c r="I513" s="5">
        <v>0.16</v>
      </c>
      <c r="J513" s="4">
        <v>192.51</v>
      </c>
      <c r="K513" t="s">
        <v>28</v>
      </c>
      <c r="L513" t="s">
        <v>208</v>
      </c>
      <c r="M513" t="s">
        <v>209</v>
      </c>
      <c r="N513" t="s">
        <v>31</v>
      </c>
      <c r="O513" t="s">
        <v>23</v>
      </c>
    </row>
    <row r="514" spans="1:15" x14ac:dyDescent="0.3">
      <c r="A514" s="2" t="s">
        <v>1245</v>
      </c>
      <c r="B514" s="2">
        <v>46000</v>
      </c>
      <c r="C514" t="s">
        <v>865</v>
      </c>
      <c r="D514" t="s">
        <v>34</v>
      </c>
      <c r="E514" t="s">
        <v>35</v>
      </c>
      <c r="F514" t="s">
        <v>35</v>
      </c>
      <c r="G514" s="6">
        <v>2</v>
      </c>
      <c r="H514" s="3">
        <v>2040</v>
      </c>
      <c r="I514" s="5">
        <v>0.15</v>
      </c>
      <c r="J514" s="4">
        <v>375.76</v>
      </c>
      <c r="K514" t="s">
        <v>52</v>
      </c>
      <c r="L514" t="s">
        <v>53</v>
      </c>
      <c r="M514" t="s">
        <v>54</v>
      </c>
      <c r="N514" t="s">
        <v>55</v>
      </c>
      <c r="O514" t="s">
        <v>44</v>
      </c>
    </row>
    <row r="515" spans="1:15" x14ac:dyDescent="0.3">
      <c r="A515" s="2" t="s">
        <v>433</v>
      </c>
      <c r="B515" s="2">
        <v>45732</v>
      </c>
      <c r="C515" t="s">
        <v>398</v>
      </c>
      <c r="D515" t="s">
        <v>17</v>
      </c>
      <c r="E515" t="s">
        <v>18</v>
      </c>
      <c r="F515" t="s">
        <v>18</v>
      </c>
      <c r="G515" s="6">
        <v>1</v>
      </c>
      <c r="H515" s="3">
        <v>25200</v>
      </c>
      <c r="I515" s="5">
        <v>0.16</v>
      </c>
      <c r="J515" s="4">
        <v>2229.04</v>
      </c>
      <c r="K515" t="s">
        <v>52</v>
      </c>
      <c r="L515" t="s">
        <v>53</v>
      </c>
      <c r="M515" t="s">
        <v>54</v>
      </c>
      <c r="N515" t="s">
        <v>55</v>
      </c>
      <c r="O515" t="s">
        <v>23</v>
      </c>
    </row>
    <row r="516" spans="1:15" x14ac:dyDescent="0.3">
      <c r="A516" s="2" t="s">
        <v>807</v>
      </c>
      <c r="B516" s="2">
        <v>45847</v>
      </c>
      <c r="C516" t="s">
        <v>92</v>
      </c>
      <c r="D516" t="s">
        <v>47</v>
      </c>
      <c r="E516" t="s">
        <v>194</v>
      </c>
      <c r="F516" t="s">
        <v>194</v>
      </c>
      <c r="G516" s="6">
        <v>2</v>
      </c>
      <c r="H516" s="3">
        <v>99000</v>
      </c>
      <c r="I516" s="5">
        <v>0.1</v>
      </c>
      <c r="J516" s="4">
        <v>7452.25</v>
      </c>
      <c r="K516" t="s">
        <v>75</v>
      </c>
      <c r="L516" t="s">
        <v>97</v>
      </c>
      <c r="M516" t="s">
        <v>98</v>
      </c>
      <c r="N516" t="s">
        <v>31</v>
      </c>
      <c r="O516" t="s">
        <v>44</v>
      </c>
    </row>
    <row r="517" spans="1:15" x14ac:dyDescent="0.3">
      <c r="A517" s="2" t="s">
        <v>909</v>
      </c>
      <c r="B517" s="2">
        <v>45878</v>
      </c>
      <c r="C517" t="s">
        <v>472</v>
      </c>
      <c r="D517" t="s">
        <v>34</v>
      </c>
      <c r="E517" t="s">
        <v>143</v>
      </c>
      <c r="F517" t="s">
        <v>143</v>
      </c>
      <c r="G517" s="6">
        <v>3</v>
      </c>
      <c r="H517" s="3">
        <v>1800</v>
      </c>
      <c r="I517" s="5">
        <v>0.25</v>
      </c>
      <c r="J517" s="4">
        <v>304.26</v>
      </c>
      <c r="K517" t="s">
        <v>52</v>
      </c>
      <c r="L517" t="s">
        <v>159</v>
      </c>
      <c r="M517" t="s">
        <v>160</v>
      </c>
      <c r="N517" t="s">
        <v>38</v>
      </c>
      <c r="O517" t="s">
        <v>44</v>
      </c>
    </row>
    <row r="518" spans="1:15" x14ac:dyDescent="0.3">
      <c r="A518" s="2" t="s">
        <v>1224</v>
      </c>
      <c r="B518" s="2">
        <v>45993</v>
      </c>
      <c r="C518" t="s">
        <v>242</v>
      </c>
      <c r="D518" t="s">
        <v>34</v>
      </c>
      <c r="E518" t="s">
        <v>302</v>
      </c>
      <c r="F518" t="s">
        <v>302</v>
      </c>
      <c r="G518" s="6">
        <v>1</v>
      </c>
      <c r="H518" s="3">
        <v>2695</v>
      </c>
      <c r="I518" s="5">
        <v>0.23</v>
      </c>
      <c r="J518" s="4">
        <v>312</v>
      </c>
      <c r="K518" t="s">
        <v>52</v>
      </c>
      <c r="L518" t="s">
        <v>60</v>
      </c>
      <c r="M518" t="s">
        <v>61</v>
      </c>
      <c r="N518" t="s">
        <v>38</v>
      </c>
      <c r="O518" t="s">
        <v>44</v>
      </c>
    </row>
    <row r="519" spans="1:15" x14ac:dyDescent="0.3">
      <c r="A519" s="2" t="s">
        <v>113</v>
      </c>
      <c r="B519" s="2">
        <v>45667</v>
      </c>
      <c r="C519" t="s">
        <v>114</v>
      </c>
      <c r="D519" t="s">
        <v>95</v>
      </c>
      <c r="E519" t="s">
        <v>104</v>
      </c>
      <c r="F519" t="s">
        <v>104</v>
      </c>
      <c r="G519" s="6">
        <v>4</v>
      </c>
      <c r="H519" s="3">
        <v>12320</v>
      </c>
      <c r="I519" s="5">
        <v>0.12</v>
      </c>
      <c r="J519" s="4">
        <v>1565.22</v>
      </c>
      <c r="K519" t="s">
        <v>28</v>
      </c>
      <c r="L519" t="s">
        <v>86</v>
      </c>
      <c r="M519" t="s">
        <v>87</v>
      </c>
      <c r="N519" t="s">
        <v>38</v>
      </c>
      <c r="O519" t="s">
        <v>44</v>
      </c>
    </row>
    <row r="520" spans="1:15" x14ac:dyDescent="0.3">
      <c r="A520" s="2" t="s">
        <v>811</v>
      </c>
      <c r="B520" s="2">
        <v>45848</v>
      </c>
      <c r="C520" t="s">
        <v>496</v>
      </c>
      <c r="D520" t="s">
        <v>17</v>
      </c>
      <c r="E520" t="s">
        <v>85</v>
      </c>
      <c r="F520" t="s">
        <v>85</v>
      </c>
      <c r="G520" s="6">
        <v>4</v>
      </c>
      <c r="H520" s="3">
        <v>25800</v>
      </c>
      <c r="I520" s="5">
        <v>0.14000000000000001</v>
      </c>
      <c r="J520" s="4">
        <v>2768.02</v>
      </c>
      <c r="K520" t="s">
        <v>49</v>
      </c>
      <c r="L520" t="s">
        <v>70</v>
      </c>
      <c r="M520" t="s">
        <v>71</v>
      </c>
      <c r="N520" t="s">
        <v>55</v>
      </c>
      <c r="O520" t="s">
        <v>44</v>
      </c>
    </row>
    <row r="521" spans="1:15" x14ac:dyDescent="0.3">
      <c r="A521" s="2" t="s">
        <v>983</v>
      </c>
      <c r="B521" s="2">
        <v>45904</v>
      </c>
      <c r="C521" t="s">
        <v>299</v>
      </c>
      <c r="D521" t="s">
        <v>47</v>
      </c>
      <c r="E521" t="s">
        <v>224</v>
      </c>
      <c r="F521" t="s">
        <v>224</v>
      </c>
      <c r="G521" s="6">
        <v>2</v>
      </c>
      <c r="H521" s="3">
        <v>8600</v>
      </c>
      <c r="I521" s="5">
        <v>0.14000000000000001</v>
      </c>
      <c r="J521" s="4">
        <v>1148.48</v>
      </c>
      <c r="K521" t="s">
        <v>65</v>
      </c>
      <c r="L521" t="s">
        <v>20</v>
      </c>
      <c r="M521" t="s">
        <v>21</v>
      </c>
      <c r="N521" t="s">
        <v>22</v>
      </c>
      <c r="O521" t="s">
        <v>23</v>
      </c>
    </row>
    <row r="522" spans="1:15" x14ac:dyDescent="0.3">
      <c r="A522" s="2" t="s">
        <v>805</v>
      </c>
      <c r="B522" s="2">
        <v>45846</v>
      </c>
      <c r="C522" t="s">
        <v>220</v>
      </c>
      <c r="D522" t="s">
        <v>95</v>
      </c>
      <c r="E522" t="s">
        <v>185</v>
      </c>
      <c r="F522" t="s">
        <v>185</v>
      </c>
      <c r="G522" s="6">
        <v>4</v>
      </c>
      <c r="H522" s="3">
        <v>3888</v>
      </c>
      <c r="I522" s="5">
        <v>0.19</v>
      </c>
      <c r="J522" s="4">
        <v>599.97</v>
      </c>
      <c r="K522" t="s">
        <v>49</v>
      </c>
      <c r="L522" t="s">
        <v>97</v>
      </c>
      <c r="M522" t="s">
        <v>98</v>
      </c>
      <c r="N522" t="s">
        <v>31</v>
      </c>
      <c r="O522" t="s">
        <v>23</v>
      </c>
    </row>
    <row r="523" spans="1:15" x14ac:dyDescent="0.3">
      <c r="A523" s="2" t="s">
        <v>658</v>
      </c>
      <c r="B523" s="2">
        <v>45798</v>
      </c>
      <c r="C523" t="s">
        <v>278</v>
      </c>
      <c r="D523" t="s">
        <v>17</v>
      </c>
      <c r="E523" t="s">
        <v>148</v>
      </c>
      <c r="F523" t="s">
        <v>148</v>
      </c>
      <c r="G523" s="6">
        <v>2</v>
      </c>
      <c r="H523" s="3">
        <v>43120</v>
      </c>
      <c r="I523" s="5">
        <v>0.23</v>
      </c>
      <c r="J523" s="4">
        <v>3459.41</v>
      </c>
      <c r="K523" t="s">
        <v>75</v>
      </c>
      <c r="L523" t="s">
        <v>86</v>
      </c>
      <c r="M523" t="s">
        <v>87</v>
      </c>
      <c r="N523" t="s">
        <v>38</v>
      </c>
      <c r="O523" t="s">
        <v>23</v>
      </c>
    </row>
    <row r="524" spans="1:15" x14ac:dyDescent="0.3">
      <c r="A524" s="2" t="s">
        <v>1174</v>
      </c>
      <c r="B524" s="2">
        <v>45977</v>
      </c>
      <c r="C524" t="s">
        <v>459</v>
      </c>
      <c r="D524" t="s">
        <v>26</v>
      </c>
      <c r="E524" t="s">
        <v>64</v>
      </c>
      <c r="F524" t="s">
        <v>64</v>
      </c>
      <c r="G524" s="6">
        <v>3</v>
      </c>
      <c r="H524" s="3">
        <v>2241</v>
      </c>
      <c r="I524" s="5">
        <v>0.17</v>
      </c>
      <c r="J524" s="4">
        <v>370.11</v>
      </c>
      <c r="K524" t="s">
        <v>52</v>
      </c>
      <c r="L524" t="s">
        <v>149</v>
      </c>
      <c r="M524" t="s">
        <v>175</v>
      </c>
      <c r="N524" t="s">
        <v>38</v>
      </c>
      <c r="O524" t="s">
        <v>23</v>
      </c>
    </row>
    <row r="525" spans="1:15" x14ac:dyDescent="0.3">
      <c r="A525" s="2" t="s">
        <v>867</v>
      </c>
      <c r="B525" s="2">
        <v>45866</v>
      </c>
      <c r="C525" t="s">
        <v>127</v>
      </c>
      <c r="D525" t="s">
        <v>47</v>
      </c>
      <c r="E525" t="s">
        <v>48</v>
      </c>
      <c r="F525" t="s">
        <v>48</v>
      </c>
      <c r="G525" s="6">
        <v>4</v>
      </c>
      <c r="H525" s="3">
        <v>86000</v>
      </c>
      <c r="I525" s="5">
        <v>0.14000000000000001</v>
      </c>
      <c r="J525" s="4">
        <v>12088.37</v>
      </c>
      <c r="K525" t="s">
        <v>19</v>
      </c>
      <c r="L525" t="s">
        <v>97</v>
      </c>
      <c r="M525" t="s">
        <v>163</v>
      </c>
      <c r="N525" t="s">
        <v>31</v>
      </c>
      <c r="O525" t="s">
        <v>44</v>
      </c>
    </row>
    <row r="526" spans="1:15" x14ac:dyDescent="0.3">
      <c r="A526" s="2" t="s">
        <v>431</v>
      </c>
      <c r="B526" s="2">
        <v>45732</v>
      </c>
      <c r="C526" t="s">
        <v>432</v>
      </c>
      <c r="D526" t="s">
        <v>34</v>
      </c>
      <c r="E526" t="s">
        <v>35</v>
      </c>
      <c r="F526" t="s">
        <v>35</v>
      </c>
      <c r="G526" s="6">
        <v>2</v>
      </c>
      <c r="H526" s="3">
        <v>2016</v>
      </c>
      <c r="I526" s="5">
        <v>0.16</v>
      </c>
      <c r="J526" s="4">
        <v>271.25</v>
      </c>
      <c r="K526" t="s">
        <v>19</v>
      </c>
      <c r="L526" t="s">
        <v>159</v>
      </c>
      <c r="M526" t="s">
        <v>160</v>
      </c>
      <c r="N526" t="s">
        <v>38</v>
      </c>
      <c r="O526" t="s">
        <v>44</v>
      </c>
    </row>
    <row r="527" spans="1:15" x14ac:dyDescent="0.3">
      <c r="A527" s="2" t="s">
        <v>248</v>
      </c>
      <c r="B527" s="2">
        <v>45692</v>
      </c>
      <c r="C527" t="s">
        <v>249</v>
      </c>
      <c r="D527" t="s">
        <v>17</v>
      </c>
      <c r="E527" t="s">
        <v>18</v>
      </c>
      <c r="F527" t="s">
        <v>18</v>
      </c>
      <c r="G527" s="6">
        <v>1</v>
      </c>
      <c r="H527" s="3">
        <v>23100</v>
      </c>
      <c r="I527" s="5">
        <v>0.23</v>
      </c>
      <c r="J527" s="4">
        <v>2875.32</v>
      </c>
      <c r="K527" t="s">
        <v>52</v>
      </c>
      <c r="L527" t="s">
        <v>159</v>
      </c>
      <c r="M527" t="s">
        <v>160</v>
      </c>
      <c r="N527" t="s">
        <v>38</v>
      </c>
      <c r="O527" t="s">
        <v>44</v>
      </c>
    </row>
    <row r="528" spans="1:15" x14ac:dyDescent="0.3">
      <c r="A528" s="2" t="s">
        <v>945</v>
      </c>
      <c r="B528" s="2">
        <v>45889</v>
      </c>
      <c r="C528" t="s">
        <v>304</v>
      </c>
      <c r="D528" t="s">
        <v>47</v>
      </c>
      <c r="E528" t="s">
        <v>214</v>
      </c>
      <c r="F528" t="s">
        <v>214</v>
      </c>
      <c r="G528" s="6">
        <v>1</v>
      </c>
      <c r="H528" s="3">
        <v>738</v>
      </c>
      <c r="I528" s="5">
        <v>0.18</v>
      </c>
      <c r="J528" s="4">
        <v>99.87</v>
      </c>
      <c r="K528" t="s">
        <v>52</v>
      </c>
      <c r="L528" t="s">
        <v>97</v>
      </c>
      <c r="M528" t="s">
        <v>163</v>
      </c>
      <c r="N528" t="s">
        <v>31</v>
      </c>
      <c r="O528" t="s">
        <v>23</v>
      </c>
    </row>
    <row r="529" spans="1:15" x14ac:dyDescent="0.3">
      <c r="A529" s="2" t="s">
        <v>713</v>
      </c>
      <c r="B529" s="2">
        <v>45812</v>
      </c>
      <c r="C529" t="s">
        <v>259</v>
      </c>
      <c r="D529" t="s">
        <v>17</v>
      </c>
      <c r="E529" t="s">
        <v>110</v>
      </c>
      <c r="F529" t="s">
        <v>110</v>
      </c>
      <c r="G529" s="6">
        <v>1</v>
      </c>
      <c r="H529" s="3">
        <v>5330</v>
      </c>
      <c r="I529" s="5">
        <v>0.18</v>
      </c>
      <c r="J529" s="4">
        <v>607.62</v>
      </c>
      <c r="K529" t="s">
        <v>19</v>
      </c>
      <c r="L529" t="s">
        <v>53</v>
      </c>
      <c r="M529" t="s">
        <v>54</v>
      </c>
      <c r="N529" t="s">
        <v>55</v>
      </c>
      <c r="O529" t="s">
        <v>23</v>
      </c>
    </row>
    <row r="530" spans="1:15" x14ac:dyDescent="0.3">
      <c r="A530" s="2" t="s">
        <v>1203</v>
      </c>
      <c r="B530" s="2">
        <v>45988</v>
      </c>
      <c r="C530" t="s">
        <v>349</v>
      </c>
      <c r="D530" t="s">
        <v>58</v>
      </c>
      <c r="E530" t="s">
        <v>59</v>
      </c>
      <c r="F530" t="s">
        <v>59</v>
      </c>
      <c r="G530" s="6">
        <v>1</v>
      </c>
      <c r="H530" s="3">
        <v>364.5</v>
      </c>
      <c r="I530" s="5">
        <v>0.19</v>
      </c>
      <c r="J530" s="4">
        <v>64.02</v>
      </c>
      <c r="K530" t="s">
        <v>19</v>
      </c>
      <c r="L530" t="s">
        <v>97</v>
      </c>
      <c r="M530" t="s">
        <v>98</v>
      </c>
      <c r="N530" t="s">
        <v>31</v>
      </c>
      <c r="O530" t="s">
        <v>23</v>
      </c>
    </row>
    <row r="531" spans="1:15" x14ac:dyDescent="0.3">
      <c r="A531" s="2" t="s">
        <v>490</v>
      </c>
      <c r="B531" s="2">
        <v>45747</v>
      </c>
      <c r="C531" t="s">
        <v>467</v>
      </c>
      <c r="D531" t="s">
        <v>26</v>
      </c>
      <c r="E531" t="s">
        <v>64</v>
      </c>
      <c r="F531" t="s">
        <v>64</v>
      </c>
      <c r="G531" s="6">
        <v>2</v>
      </c>
      <c r="H531" s="3">
        <v>1332</v>
      </c>
      <c r="I531" s="5">
        <v>0.26</v>
      </c>
      <c r="J531" s="4">
        <v>292.22000000000003</v>
      </c>
      <c r="K531" t="s">
        <v>49</v>
      </c>
      <c r="L531" t="s">
        <v>170</v>
      </c>
      <c r="M531" t="s">
        <v>171</v>
      </c>
      <c r="N531" t="s">
        <v>31</v>
      </c>
      <c r="O531" t="s">
        <v>23</v>
      </c>
    </row>
    <row r="532" spans="1:15" x14ac:dyDescent="0.3">
      <c r="A532" s="2" t="s">
        <v>367</v>
      </c>
      <c r="B532" s="2">
        <v>45716</v>
      </c>
      <c r="C532" t="s">
        <v>304</v>
      </c>
      <c r="D532" t="s">
        <v>47</v>
      </c>
      <c r="E532" t="s">
        <v>368</v>
      </c>
      <c r="F532" t="s">
        <v>368</v>
      </c>
      <c r="G532" s="6">
        <v>4</v>
      </c>
      <c r="H532" s="3">
        <v>6048</v>
      </c>
      <c r="I532" s="5">
        <v>0.16</v>
      </c>
      <c r="J532" s="4">
        <v>811.78</v>
      </c>
      <c r="K532" t="s">
        <v>19</v>
      </c>
      <c r="L532" t="s">
        <v>170</v>
      </c>
      <c r="M532" t="s">
        <v>171</v>
      </c>
      <c r="N532" t="s">
        <v>31</v>
      </c>
      <c r="O532" t="s">
        <v>23</v>
      </c>
    </row>
    <row r="533" spans="1:15" x14ac:dyDescent="0.3">
      <c r="A533" s="2" t="s">
        <v>979</v>
      </c>
      <c r="B533" s="2">
        <v>45903</v>
      </c>
      <c r="C533" t="s">
        <v>235</v>
      </c>
      <c r="D533" t="s">
        <v>47</v>
      </c>
      <c r="E533" t="s">
        <v>368</v>
      </c>
      <c r="F533" t="s">
        <v>368</v>
      </c>
      <c r="G533" s="6">
        <v>1</v>
      </c>
      <c r="H533" s="3">
        <v>1440</v>
      </c>
      <c r="I533" s="5">
        <v>0.2</v>
      </c>
      <c r="J533" s="4">
        <v>184.19</v>
      </c>
      <c r="K533" t="s">
        <v>52</v>
      </c>
      <c r="L533" t="s">
        <v>42</v>
      </c>
      <c r="M533" t="s">
        <v>43</v>
      </c>
      <c r="N533" t="s">
        <v>22</v>
      </c>
      <c r="O533" t="s">
        <v>44</v>
      </c>
    </row>
    <row r="534" spans="1:15" x14ac:dyDescent="0.3">
      <c r="A534" s="2" t="s">
        <v>772</v>
      </c>
      <c r="B534" s="2">
        <v>45835</v>
      </c>
      <c r="C534" t="s">
        <v>773</v>
      </c>
      <c r="D534" t="s">
        <v>68</v>
      </c>
      <c r="E534" t="s">
        <v>69</v>
      </c>
      <c r="F534" t="s">
        <v>69</v>
      </c>
      <c r="G534" s="6">
        <v>2</v>
      </c>
      <c r="H534" s="3">
        <v>700</v>
      </c>
      <c r="I534" s="5">
        <v>0.3</v>
      </c>
      <c r="J534" s="4">
        <v>144.63</v>
      </c>
      <c r="K534" t="s">
        <v>28</v>
      </c>
      <c r="L534" t="s">
        <v>36</v>
      </c>
      <c r="M534" t="s">
        <v>101</v>
      </c>
      <c r="N534" t="s">
        <v>38</v>
      </c>
      <c r="O534" t="s">
        <v>44</v>
      </c>
    </row>
    <row r="535" spans="1:15" x14ac:dyDescent="0.3">
      <c r="A535" s="2" t="s">
        <v>581</v>
      </c>
      <c r="B535" s="2">
        <v>45773</v>
      </c>
      <c r="C535" t="s">
        <v>223</v>
      </c>
      <c r="D535" t="s">
        <v>17</v>
      </c>
      <c r="E535" t="s">
        <v>18</v>
      </c>
      <c r="F535" t="s">
        <v>18</v>
      </c>
      <c r="G535" s="6">
        <v>1</v>
      </c>
      <c r="H535" s="3">
        <v>25200</v>
      </c>
      <c r="I535" s="5">
        <v>0.16</v>
      </c>
      <c r="J535" s="4">
        <v>2001.02</v>
      </c>
      <c r="K535" t="s">
        <v>75</v>
      </c>
      <c r="L535" t="s">
        <v>53</v>
      </c>
      <c r="M535" t="s">
        <v>54</v>
      </c>
      <c r="N535" t="s">
        <v>55</v>
      </c>
      <c r="O535" t="s">
        <v>23</v>
      </c>
    </row>
    <row r="536" spans="1:15" x14ac:dyDescent="0.3">
      <c r="A536" s="2" t="s">
        <v>215</v>
      </c>
      <c r="B536" s="2">
        <v>45684</v>
      </c>
      <c r="C536" t="s">
        <v>147</v>
      </c>
      <c r="D536" t="s">
        <v>34</v>
      </c>
      <c r="E536" t="s">
        <v>107</v>
      </c>
      <c r="F536" t="s">
        <v>107</v>
      </c>
      <c r="G536" s="6">
        <v>1</v>
      </c>
      <c r="H536" s="3">
        <v>4095</v>
      </c>
      <c r="I536" s="5">
        <v>0.09</v>
      </c>
      <c r="J536" s="4">
        <v>613.55999999999995</v>
      </c>
      <c r="K536" t="s">
        <v>19</v>
      </c>
      <c r="L536" t="s">
        <v>36</v>
      </c>
      <c r="M536" t="s">
        <v>101</v>
      </c>
      <c r="N536" t="s">
        <v>38</v>
      </c>
      <c r="O536" t="s">
        <v>23</v>
      </c>
    </row>
    <row r="537" spans="1:15" x14ac:dyDescent="0.3">
      <c r="A537" s="2" t="s">
        <v>1267</v>
      </c>
      <c r="B537" s="2">
        <v>46009</v>
      </c>
      <c r="C537" t="s">
        <v>729</v>
      </c>
      <c r="D537" t="s">
        <v>95</v>
      </c>
      <c r="E537" t="s">
        <v>125</v>
      </c>
      <c r="F537" t="s">
        <v>125</v>
      </c>
      <c r="G537" s="6">
        <v>2</v>
      </c>
      <c r="H537" s="3">
        <v>2988</v>
      </c>
      <c r="I537" s="5">
        <v>0.17</v>
      </c>
      <c r="J537" s="4">
        <v>451.15</v>
      </c>
      <c r="K537" t="s">
        <v>65</v>
      </c>
      <c r="L537" t="s">
        <v>70</v>
      </c>
      <c r="M537" t="s">
        <v>71</v>
      </c>
      <c r="N537" t="s">
        <v>55</v>
      </c>
      <c r="O537" t="s">
        <v>44</v>
      </c>
    </row>
    <row r="538" spans="1:15" x14ac:dyDescent="0.3">
      <c r="A538" s="2" t="s">
        <v>816</v>
      </c>
      <c r="B538" s="2">
        <v>45849</v>
      </c>
      <c r="C538" t="s">
        <v>413</v>
      </c>
      <c r="D538" t="s">
        <v>26</v>
      </c>
      <c r="E538" t="s">
        <v>133</v>
      </c>
      <c r="F538" t="s">
        <v>133</v>
      </c>
      <c r="G538" s="6">
        <v>2</v>
      </c>
      <c r="H538" s="3">
        <v>4536</v>
      </c>
      <c r="I538" s="5">
        <v>0.19</v>
      </c>
      <c r="J538" s="4">
        <v>698.65</v>
      </c>
      <c r="K538" t="s">
        <v>52</v>
      </c>
      <c r="L538" t="s">
        <v>36</v>
      </c>
      <c r="M538" t="s">
        <v>37</v>
      </c>
      <c r="N538" t="s">
        <v>38</v>
      </c>
      <c r="O538" t="s">
        <v>23</v>
      </c>
    </row>
    <row r="539" spans="1:15" x14ac:dyDescent="0.3">
      <c r="A539" s="2" t="s">
        <v>346</v>
      </c>
      <c r="B539" s="2">
        <v>45713</v>
      </c>
      <c r="C539" t="s">
        <v>347</v>
      </c>
      <c r="D539" t="s">
        <v>95</v>
      </c>
      <c r="E539" t="s">
        <v>104</v>
      </c>
      <c r="F539" t="s">
        <v>104</v>
      </c>
      <c r="G539" s="6">
        <v>2</v>
      </c>
      <c r="H539" s="3">
        <v>5670</v>
      </c>
      <c r="I539" s="5">
        <v>0.19</v>
      </c>
      <c r="J539" s="4">
        <v>796.36</v>
      </c>
      <c r="K539" t="s">
        <v>28</v>
      </c>
      <c r="L539" t="s">
        <v>36</v>
      </c>
      <c r="M539" t="s">
        <v>101</v>
      </c>
      <c r="N539" t="s">
        <v>38</v>
      </c>
      <c r="O539" t="s">
        <v>23</v>
      </c>
    </row>
    <row r="540" spans="1:15" x14ac:dyDescent="0.3">
      <c r="A540" s="2" t="s">
        <v>1222</v>
      </c>
      <c r="B540" s="2">
        <v>45993</v>
      </c>
      <c r="C540" t="s">
        <v>441</v>
      </c>
      <c r="D540" t="s">
        <v>47</v>
      </c>
      <c r="E540" t="s">
        <v>48</v>
      </c>
      <c r="F540" t="s">
        <v>48</v>
      </c>
      <c r="G540" s="6">
        <v>2</v>
      </c>
      <c r="H540" s="3">
        <v>47500</v>
      </c>
      <c r="I540" s="5">
        <v>0.05</v>
      </c>
      <c r="J540" s="4">
        <v>4922.26</v>
      </c>
      <c r="K540" t="s">
        <v>52</v>
      </c>
      <c r="L540" t="s">
        <v>60</v>
      </c>
      <c r="M540" t="s">
        <v>61</v>
      </c>
      <c r="N540" t="s">
        <v>38</v>
      </c>
      <c r="O540" t="s">
        <v>44</v>
      </c>
    </row>
    <row r="541" spans="1:15" x14ac:dyDescent="0.3">
      <c r="A541" s="2" t="s">
        <v>678</v>
      </c>
      <c r="B541" s="2">
        <v>45805</v>
      </c>
      <c r="C541" t="s">
        <v>322</v>
      </c>
      <c r="D541" t="s">
        <v>34</v>
      </c>
      <c r="E541" t="s">
        <v>227</v>
      </c>
      <c r="F541" t="s">
        <v>227</v>
      </c>
      <c r="G541" s="6">
        <v>1</v>
      </c>
      <c r="H541" s="3">
        <v>6045</v>
      </c>
      <c r="I541" s="5">
        <v>7.0000000000000007E-2</v>
      </c>
      <c r="J541" s="4">
        <v>663.64</v>
      </c>
      <c r="K541" t="s">
        <v>49</v>
      </c>
      <c r="L541" t="s">
        <v>208</v>
      </c>
      <c r="M541" t="s">
        <v>209</v>
      </c>
      <c r="N541" t="s">
        <v>31</v>
      </c>
      <c r="O541" t="s">
        <v>23</v>
      </c>
    </row>
    <row r="542" spans="1:15" x14ac:dyDescent="0.3">
      <c r="A542" s="2" t="s">
        <v>720</v>
      </c>
      <c r="B542" s="2">
        <v>45814</v>
      </c>
      <c r="C542" t="s">
        <v>721</v>
      </c>
      <c r="D542" t="s">
        <v>95</v>
      </c>
      <c r="E542" t="s">
        <v>96</v>
      </c>
      <c r="F542" t="s">
        <v>96</v>
      </c>
      <c r="G542" s="6">
        <v>1</v>
      </c>
      <c r="H542" s="3">
        <v>747</v>
      </c>
      <c r="I542" s="5">
        <v>0.17</v>
      </c>
      <c r="J542" s="4">
        <v>148.79</v>
      </c>
      <c r="K542" t="s">
        <v>65</v>
      </c>
      <c r="L542" t="s">
        <v>36</v>
      </c>
      <c r="M542" t="s">
        <v>128</v>
      </c>
      <c r="N542" t="s">
        <v>38</v>
      </c>
      <c r="O542" t="s">
        <v>23</v>
      </c>
    </row>
    <row r="543" spans="1:15" x14ac:dyDescent="0.3">
      <c r="A543" s="2" t="s">
        <v>1074</v>
      </c>
      <c r="B543" s="2">
        <v>45941</v>
      </c>
      <c r="C543" t="s">
        <v>370</v>
      </c>
      <c r="D543" t="s">
        <v>68</v>
      </c>
      <c r="E543" t="s">
        <v>69</v>
      </c>
      <c r="F543" t="s">
        <v>69</v>
      </c>
      <c r="G543" s="6">
        <v>2</v>
      </c>
      <c r="H543" s="3">
        <v>770</v>
      </c>
      <c r="I543" s="5">
        <v>0.23</v>
      </c>
      <c r="J543" s="4">
        <v>146.72</v>
      </c>
      <c r="K543" t="s">
        <v>75</v>
      </c>
      <c r="L543" t="s">
        <v>53</v>
      </c>
      <c r="M543" t="s">
        <v>54</v>
      </c>
      <c r="N543" t="s">
        <v>55</v>
      </c>
      <c r="O543" t="s">
        <v>44</v>
      </c>
    </row>
    <row r="544" spans="1:15" x14ac:dyDescent="0.3">
      <c r="A544" s="2" t="s">
        <v>161</v>
      </c>
      <c r="B544" s="2">
        <v>45675</v>
      </c>
      <c r="C544" t="s">
        <v>162</v>
      </c>
      <c r="D544" t="s">
        <v>17</v>
      </c>
      <c r="E544" t="s">
        <v>158</v>
      </c>
      <c r="F544" t="s">
        <v>158</v>
      </c>
      <c r="G544" s="6">
        <v>1</v>
      </c>
      <c r="H544" s="3">
        <v>16500</v>
      </c>
      <c r="I544" s="5">
        <v>0.25</v>
      </c>
      <c r="J544" s="4">
        <v>1565.28</v>
      </c>
      <c r="K544" t="s">
        <v>52</v>
      </c>
      <c r="L544" t="s">
        <v>97</v>
      </c>
      <c r="M544" t="s">
        <v>163</v>
      </c>
      <c r="N544" t="s">
        <v>31</v>
      </c>
      <c r="O544" t="s">
        <v>23</v>
      </c>
    </row>
    <row r="545" spans="1:15" x14ac:dyDescent="0.3">
      <c r="A545" s="2" t="s">
        <v>1275</v>
      </c>
      <c r="B545" s="2">
        <v>46011</v>
      </c>
      <c r="C545" t="s">
        <v>486</v>
      </c>
      <c r="D545" t="s">
        <v>47</v>
      </c>
      <c r="E545" t="s">
        <v>240</v>
      </c>
      <c r="F545" t="s">
        <v>240</v>
      </c>
      <c r="G545" s="6">
        <v>1</v>
      </c>
      <c r="H545" s="3">
        <v>2175</v>
      </c>
      <c r="I545" s="5">
        <v>0.13</v>
      </c>
      <c r="J545" s="4">
        <v>359.18</v>
      </c>
      <c r="K545" t="s">
        <v>19</v>
      </c>
      <c r="L545" t="s">
        <v>29</v>
      </c>
      <c r="M545" t="s">
        <v>30</v>
      </c>
      <c r="N545" t="s">
        <v>31</v>
      </c>
      <c r="O545" t="s">
        <v>23</v>
      </c>
    </row>
    <row r="546" spans="1:15" x14ac:dyDescent="0.3">
      <c r="A546" s="2" t="s">
        <v>1133</v>
      </c>
      <c r="B546" s="2">
        <v>45962</v>
      </c>
      <c r="C546" t="s">
        <v>271</v>
      </c>
      <c r="D546" t="s">
        <v>58</v>
      </c>
      <c r="E546" t="s">
        <v>138</v>
      </c>
      <c r="F546" t="s">
        <v>138</v>
      </c>
      <c r="G546" s="6">
        <v>2</v>
      </c>
      <c r="H546" s="3">
        <v>3564</v>
      </c>
      <c r="I546" s="5">
        <v>0.19</v>
      </c>
      <c r="J546" s="4">
        <v>580.04</v>
      </c>
      <c r="K546" t="s">
        <v>65</v>
      </c>
      <c r="L546" t="s">
        <v>70</v>
      </c>
      <c r="M546" t="s">
        <v>71</v>
      </c>
      <c r="N546" t="s">
        <v>55</v>
      </c>
      <c r="O546" t="s">
        <v>23</v>
      </c>
    </row>
    <row r="547" spans="1:15" x14ac:dyDescent="0.3">
      <c r="A547" s="2" t="s">
        <v>775</v>
      </c>
      <c r="B547" s="2">
        <v>45836</v>
      </c>
      <c r="C547" t="s">
        <v>477</v>
      </c>
      <c r="D547" t="s">
        <v>47</v>
      </c>
      <c r="E547" t="s">
        <v>82</v>
      </c>
      <c r="F547" t="s">
        <v>82</v>
      </c>
      <c r="G547" s="6">
        <v>2</v>
      </c>
      <c r="H547" s="3">
        <v>6300</v>
      </c>
      <c r="I547" s="5">
        <v>0.1</v>
      </c>
      <c r="J547" s="4">
        <v>631.6</v>
      </c>
      <c r="K547" t="s">
        <v>49</v>
      </c>
      <c r="L547" t="s">
        <v>70</v>
      </c>
      <c r="M547" t="s">
        <v>71</v>
      </c>
      <c r="N547" t="s">
        <v>55</v>
      </c>
      <c r="O547" t="s">
        <v>44</v>
      </c>
    </row>
    <row r="548" spans="1:15" x14ac:dyDescent="0.3">
      <c r="A548" s="2" t="s">
        <v>874</v>
      </c>
      <c r="B548" s="2">
        <v>45869</v>
      </c>
      <c r="C548" t="s">
        <v>251</v>
      </c>
      <c r="D548" t="s">
        <v>58</v>
      </c>
      <c r="E548" t="s">
        <v>138</v>
      </c>
      <c r="F548" t="s">
        <v>138</v>
      </c>
      <c r="G548" s="6">
        <v>1</v>
      </c>
      <c r="H548" s="3">
        <v>1936</v>
      </c>
      <c r="I548" s="5">
        <v>0.12</v>
      </c>
      <c r="J548" s="4">
        <v>294.66000000000003</v>
      </c>
      <c r="K548" t="s">
        <v>75</v>
      </c>
      <c r="L548" t="s">
        <v>121</v>
      </c>
      <c r="M548" t="s">
        <v>122</v>
      </c>
      <c r="N548" t="s">
        <v>55</v>
      </c>
      <c r="O548" t="s">
        <v>23</v>
      </c>
    </row>
    <row r="549" spans="1:15" x14ac:dyDescent="0.3">
      <c r="A549" s="2" t="s">
        <v>857</v>
      </c>
      <c r="B549" s="2">
        <v>45864</v>
      </c>
      <c r="C549" t="s">
        <v>766</v>
      </c>
      <c r="D549" t="s">
        <v>26</v>
      </c>
      <c r="E549" t="s">
        <v>27</v>
      </c>
      <c r="F549" t="s">
        <v>27</v>
      </c>
      <c r="G549" s="6">
        <v>1</v>
      </c>
      <c r="H549" s="3">
        <v>1162</v>
      </c>
      <c r="I549" s="5">
        <v>0.17</v>
      </c>
      <c r="J549" s="4">
        <v>230.07</v>
      </c>
      <c r="K549" t="s">
        <v>75</v>
      </c>
      <c r="L549" t="s">
        <v>42</v>
      </c>
      <c r="M549" t="s">
        <v>43</v>
      </c>
      <c r="N549" t="s">
        <v>22</v>
      </c>
      <c r="O549" t="s">
        <v>44</v>
      </c>
    </row>
    <row r="550" spans="1:15" x14ac:dyDescent="0.3">
      <c r="A550" s="2" t="s">
        <v>1142</v>
      </c>
      <c r="B550" s="2">
        <v>45965</v>
      </c>
      <c r="C550" t="s">
        <v>370</v>
      </c>
      <c r="D550" t="s">
        <v>26</v>
      </c>
      <c r="E550" t="s">
        <v>64</v>
      </c>
      <c r="F550" t="s">
        <v>64</v>
      </c>
      <c r="G550" s="6">
        <v>2</v>
      </c>
      <c r="H550" s="3">
        <v>1368</v>
      </c>
      <c r="I550" s="5">
        <v>0.24</v>
      </c>
      <c r="J550" s="4">
        <v>259.5</v>
      </c>
      <c r="K550" t="s">
        <v>49</v>
      </c>
      <c r="L550" t="s">
        <v>42</v>
      </c>
      <c r="M550" t="s">
        <v>43</v>
      </c>
      <c r="N550" t="s">
        <v>22</v>
      </c>
      <c r="O550" t="s">
        <v>23</v>
      </c>
    </row>
    <row r="551" spans="1:15" x14ac:dyDescent="0.3">
      <c r="A551" s="2" t="s">
        <v>1221</v>
      </c>
      <c r="B551" s="2">
        <v>45993</v>
      </c>
      <c r="C551" t="s">
        <v>103</v>
      </c>
      <c r="D551" t="s">
        <v>58</v>
      </c>
      <c r="E551" t="s">
        <v>77</v>
      </c>
      <c r="F551" t="s">
        <v>77</v>
      </c>
      <c r="G551" s="6">
        <v>1</v>
      </c>
      <c r="H551" s="3">
        <v>1512</v>
      </c>
      <c r="I551" s="5">
        <v>0.16</v>
      </c>
      <c r="J551" s="4">
        <v>334.87</v>
      </c>
      <c r="K551" t="s">
        <v>52</v>
      </c>
      <c r="L551" t="s">
        <v>134</v>
      </c>
      <c r="M551" t="s">
        <v>135</v>
      </c>
      <c r="N551" t="s">
        <v>55</v>
      </c>
      <c r="O551" t="s">
        <v>44</v>
      </c>
    </row>
    <row r="552" spans="1:15" x14ac:dyDescent="0.3">
      <c r="A552" s="2" t="s">
        <v>1193</v>
      </c>
      <c r="B552" s="2">
        <v>45984</v>
      </c>
      <c r="C552" t="s">
        <v>84</v>
      </c>
      <c r="D552" t="s">
        <v>34</v>
      </c>
      <c r="E552" t="s">
        <v>107</v>
      </c>
      <c r="F552" t="s">
        <v>107</v>
      </c>
      <c r="G552" s="6">
        <v>1</v>
      </c>
      <c r="H552" s="3">
        <v>4095</v>
      </c>
      <c r="I552" s="5">
        <v>0.09</v>
      </c>
      <c r="J552" s="4">
        <v>368.52</v>
      </c>
      <c r="K552" t="s">
        <v>49</v>
      </c>
      <c r="L552" t="s">
        <v>78</v>
      </c>
      <c r="M552" t="s">
        <v>79</v>
      </c>
      <c r="N552" t="s">
        <v>22</v>
      </c>
      <c r="O552" t="s">
        <v>23</v>
      </c>
    </row>
    <row r="553" spans="1:15" x14ac:dyDescent="0.3">
      <c r="A553" s="2" t="s">
        <v>599</v>
      </c>
      <c r="B553" s="2">
        <v>45782</v>
      </c>
      <c r="C553" t="s">
        <v>331</v>
      </c>
      <c r="D553" t="s">
        <v>34</v>
      </c>
      <c r="E553" t="s">
        <v>41</v>
      </c>
      <c r="F553" t="s">
        <v>41</v>
      </c>
      <c r="G553" s="6">
        <v>2</v>
      </c>
      <c r="H553" s="3">
        <v>8500</v>
      </c>
      <c r="I553" s="5">
        <v>0.15</v>
      </c>
      <c r="J553" s="4">
        <v>1406.5</v>
      </c>
      <c r="K553" t="s">
        <v>65</v>
      </c>
      <c r="L553" t="s">
        <v>208</v>
      </c>
      <c r="M553" t="s">
        <v>209</v>
      </c>
      <c r="N553" t="s">
        <v>31</v>
      </c>
      <c r="O553" t="s">
        <v>44</v>
      </c>
    </row>
    <row r="554" spans="1:15" x14ac:dyDescent="0.3">
      <c r="A554" s="2" t="s">
        <v>363</v>
      </c>
      <c r="B554" s="2">
        <v>45715</v>
      </c>
      <c r="C554" t="s">
        <v>364</v>
      </c>
      <c r="D554" t="s">
        <v>47</v>
      </c>
      <c r="E554" t="s">
        <v>82</v>
      </c>
      <c r="F554" t="s">
        <v>82</v>
      </c>
      <c r="G554" s="6">
        <v>1</v>
      </c>
      <c r="H554" s="3">
        <v>3150</v>
      </c>
      <c r="I554" s="5">
        <v>0.1</v>
      </c>
      <c r="J554" s="4">
        <v>236.79</v>
      </c>
      <c r="K554" t="s">
        <v>65</v>
      </c>
      <c r="L554" t="s">
        <v>20</v>
      </c>
      <c r="M554" t="s">
        <v>21</v>
      </c>
      <c r="N554" t="s">
        <v>22</v>
      </c>
      <c r="O554" t="s">
        <v>44</v>
      </c>
    </row>
    <row r="555" spans="1:15" x14ac:dyDescent="0.3">
      <c r="A555" s="2" t="s">
        <v>563</v>
      </c>
      <c r="B555" s="2">
        <v>45766</v>
      </c>
      <c r="C555" t="s">
        <v>271</v>
      </c>
      <c r="D555" t="s">
        <v>58</v>
      </c>
      <c r="E555" t="s">
        <v>178</v>
      </c>
      <c r="F555" t="s">
        <v>178</v>
      </c>
      <c r="G555" s="6">
        <v>4</v>
      </c>
      <c r="H555" s="3">
        <v>2132</v>
      </c>
      <c r="I555" s="5">
        <v>0.18</v>
      </c>
      <c r="J555" s="4">
        <v>462.81</v>
      </c>
      <c r="K555" t="s">
        <v>19</v>
      </c>
      <c r="L555" t="s">
        <v>36</v>
      </c>
      <c r="M555" t="s">
        <v>128</v>
      </c>
      <c r="N555" t="s">
        <v>38</v>
      </c>
      <c r="O555" t="s">
        <v>23</v>
      </c>
    </row>
    <row r="556" spans="1:15" x14ac:dyDescent="0.3">
      <c r="A556" s="2" t="s">
        <v>1247</v>
      </c>
      <c r="B556" s="2">
        <v>46000</v>
      </c>
      <c r="C556" t="s">
        <v>235</v>
      </c>
      <c r="D556" t="s">
        <v>58</v>
      </c>
      <c r="E556" t="s">
        <v>138</v>
      </c>
      <c r="F556" t="s">
        <v>138</v>
      </c>
      <c r="G556" s="6">
        <v>1</v>
      </c>
      <c r="H556" s="3">
        <v>1760</v>
      </c>
      <c r="I556" s="5">
        <v>0.2</v>
      </c>
      <c r="J556" s="4">
        <v>172.39</v>
      </c>
      <c r="K556" t="s">
        <v>49</v>
      </c>
      <c r="L556" t="s">
        <v>29</v>
      </c>
      <c r="M556" t="s">
        <v>30</v>
      </c>
      <c r="N556" t="s">
        <v>31</v>
      </c>
      <c r="O556" t="s">
        <v>23</v>
      </c>
    </row>
    <row r="557" spans="1:15" x14ac:dyDescent="0.3">
      <c r="A557" s="2" t="s">
        <v>543</v>
      </c>
      <c r="B557" s="2">
        <v>45762</v>
      </c>
      <c r="C557" t="s">
        <v>422</v>
      </c>
      <c r="D557" t="s">
        <v>47</v>
      </c>
      <c r="E557" t="s">
        <v>194</v>
      </c>
      <c r="F557" t="s">
        <v>194</v>
      </c>
      <c r="G557" s="6">
        <v>2</v>
      </c>
      <c r="H557" s="3">
        <v>104500</v>
      </c>
      <c r="I557" s="5">
        <v>0.05</v>
      </c>
      <c r="J557" s="4">
        <v>15988.98</v>
      </c>
      <c r="K557" t="s">
        <v>75</v>
      </c>
      <c r="L557" t="s">
        <v>29</v>
      </c>
      <c r="M557" t="s">
        <v>30</v>
      </c>
      <c r="N557" t="s">
        <v>31</v>
      </c>
      <c r="O557" t="s">
        <v>23</v>
      </c>
    </row>
    <row r="558" spans="1:15" x14ac:dyDescent="0.3">
      <c r="A558" s="2" t="s">
        <v>604</v>
      </c>
      <c r="B558" s="2">
        <v>45783</v>
      </c>
      <c r="C558" t="s">
        <v>145</v>
      </c>
      <c r="D558" t="s">
        <v>34</v>
      </c>
      <c r="E558" t="s">
        <v>41</v>
      </c>
      <c r="F558" t="s">
        <v>41</v>
      </c>
      <c r="G558" s="6">
        <v>1</v>
      </c>
      <c r="H558" s="3">
        <v>4450</v>
      </c>
      <c r="I558" s="5">
        <v>0.11</v>
      </c>
      <c r="J558" s="4">
        <v>544.04</v>
      </c>
      <c r="K558" t="s">
        <v>49</v>
      </c>
      <c r="L558" t="s">
        <v>97</v>
      </c>
      <c r="M558" t="s">
        <v>163</v>
      </c>
      <c r="N558" t="s">
        <v>31</v>
      </c>
      <c r="O558" t="s">
        <v>23</v>
      </c>
    </row>
    <row r="559" spans="1:15" x14ac:dyDescent="0.3">
      <c r="A559" s="2" t="s">
        <v>238</v>
      </c>
      <c r="B559" s="2">
        <v>45689</v>
      </c>
      <c r="C559" t="s">
        <v>167</v>
      </c>
      <c r="D559" t="s">
        <v>34</v>
      </c>
      <c r="E559" t="s">
        <v>107</v>
      </c>
      <c r="F559" t="s">
        <v>107</v>
      </c>
      <c r="G559" s="6">
        <v>1</v>
      </c>
      <c r="H559" s="3">
        <v>3870</v>
      </c>
      <c r="I559" s="5">
        <v>0.14000000000000001</v>
      </c>
      <c r="J559" s="4">
        <v>369.08</v>
      </c>
      <c r="K559" t="s">
        <v>65</v>
      </c>
      <c r="L559" t="s">
        <v>36</v>
      </c>
      <c r="M559" t="s">
        <v>37</v>
      </c>
      <c r="N559" t="s">
        <v>38</v>
      </c>
      <c r="O559" t="s">
        <v>23</v>
      </c>
    </row>
    <row r="560" spans="1:15" x14ac:dyDescent="0.3">
      <c r="A560" s="2" t="s">
        <v>891</v>
      </c>
      <c r="B560" s="2">
        <v>45872</v>
      </c>
      <c r="C560" t="s">
        <v>253</v>
      </c>
      <c r="D560" t="s">
        <v>26</v>
      </c>
      <c r="E560" t="s">
        <v>27</v>
      </c>
      <c r="F560" t="s">
        <v>27</v>
      </c>
      <c r="G560" s="6">
        <v>5</v>
      </c>
      <c r="H560" s="3">
        <v>5670</v>
      </c>
      <c r="I560" s="5">
        <v>0.19</v>
      </c>
      <c r="J560" s="4">
        <v>1055.8499999999999</v>
      </c>
      <c r="K560" t="s">
        <v>49</v>
      </c>
      <c r="L560" t="s">
        <v>149</v>
      </c>
      <c r="M560" t="s">
        <v>175</v>
      </c>
      <c r="N560" t="s">
        <v>38</v>
      </c>
      <c r="O560" t="s">
        <v>23</v>
      </c>
    </row>
    <row r="561" spans="1:15" x14ac:dyDescent="0.3">
      <c r="A561" s="2" t="s">
        <v>1249</v>
      </c>
      <c r="B561" s="2">
        <v>46001</v>
      </c>
      <c r="C561" t="s">
        <v>183</v>
      </c>
      <c r="D561" t="s">
        <v>95</v>
      </c>
      <c r="E561" t="s">
        <v>96</v>
      </c>
      <c r="F561" t="s">
        <v>96</v>
      </c>
      <c r="G561" s="6">
        <v>1</v>
      </c>
      <c r="H561" s="3">
        <v>702</v>
      </c>
      <c r="I561" s="5">
        <v>0.22</v>
      </c>
      <c r="J561" s="4">
        <v>118.72</v>
      </c>
      <c r="K561" t="s">
        <v>65</v>
      </c>
      <c r="L561" t="s">
        <v>208</v>
      </c>
      <c r="M561" t="s">
        <v>209</v>
      </c>
      <c r="N561" t="s">
        <v>31</v>
      </c>
      <c r="O561" t="s">
        <v>44</v>
      </c>
    </row>
    <row r="562" spans="1:15" x14ac:dyDescent="0.3">
      <c r="A562" s="2" t="s">
        <v>1135</v>
      </c>
      <c r="B562" s="2">
        <v>45963</v>
      </c>
      <c r="C562" t="s">
        <v>106</v>
      </c>
      <c r="D562" t="s">
        <v>95</v>
      </c>
      <c r="E562" t="s">
        <v>104</v>
      </c>
      <c r="F562" t="s">
        <v>104</v>
      </c>
      <c r="G562" s="6">
        <v>3</v>
      </c>
      <c r="H562" s="3">
        <v>9345</v>
      </c>
      <c r="I562" s="5">
        <v>0.11</v>
      </c>
      <c r="J562" s="4">
        <v>1588.7</v>
      </c>
      <c r="K562" t="s">
        <v>28</v>
      </c>
      <c r="L562" t="s">
        <v>53</v>
      </c>
      <c r="M562" t="s">
        <v>54</v>
      </c>
      <c r="N562" t="s">
        <v>55</v>
      </c>
      <c r="O562" t="s">
        <v>23</v>
      </c>
    </row>
    <row r="563" spans="1:15" x14ac:dyDescent="0.3">
      <c r="A563" s="2" t="s">
        <v>1045</v>
      </c>
      <c r="B563" s="2">
        <v>45931</v>
      </c>
      <c r="C563" t="s">
        <v>481</v>
      </c>
      <c r="D563" t="s">
        <v>34</v>
      </c>
      <c r="E563" t="s">
        <v>35</v>
      </c>
      <c r="F563" t="s">
        <v>35</v>
      </c>
      <c r="G563" s="6">
        <v>2</v>
      </c>
      <c r="H563" s="3">
        <v>2088</v>
      </c>
      <c r="I563" s="5">
        <v>0.13</v>
      </c>
      <c r="J563" s="4">
        <v>377.37</v>
      </c>
      <c r="K563" t="s">
        <v>52</v>
      </c>
      <c r="L563" t="s">
        <v>78</v>
      </c>
      <c r="M563" t="s">
        <v>79</v>
      </c>
      <c r="N563" t="s">
        <v>22</v>
      </c>
      <c r="O563" t="s">
        <v>23</v>
      </c>
    </row>
    <row r="564" spans="1:15" x14ac:dyDescent="0.3">
      <c r="A564" s="2" t="s">
        <v>310</v>
      </c>
      <c r="B564" s="2">
        <v>45704</v>
      </c>
      <c r="C564" t="s">
        <v>81</v>
      </c>
      <c r="D564" t="s">
        <v>17</v>
      </c>
      <c r="E564" t="s">
        <v>85</v>
      </c>
      <c r="F564" t="s">
        <v>85</v>
      </c>
      <c r="G564" s="6">
        <v>2</v>
      </c>
      <c r="H564" s="3">
        <v>11250</v>
      </c>
      <c r="I564" s="5">
        <v>0.25</v>
      </c>
      <c r="J564" s="4">
        <v>1426.29</v>
      </c>
      <c r="K564" t="s">
        <v>65</v>
      </c>
      <c r="L564" t="s">
        <v>78</v>
      </c>
      <c r="M564" t="s">
        <v>79</v>
      </c>
      <c r="N564" t="s">
        <v>22</v>
      </c>
      <c r="O564" t="s">
        <v>44</v>
      </c>
    </row>
    <row r="565" spans="1:15" x14ac:dyDescent="0.3">
      <c r="A565" s="2" t="s">
        <v>624</v>
      </c>
      <c r="B565" s="2">
        <v>45788</v>
      </c>
      <c r="C565" t="s">
        <v>625</v>
      </c>
      <c r="D565" t="s">
        <v>47</v>
      </c>
      <c r="E565" t="s">
        <v>48</v>
      </c>
      <c r="F565" t="s">
        <v>48</v>
      </c>
      <c r="G565" s="6">
        <v>1</v>
      </c>
      <c r="H565" s="3">
        <v>21750</v>
      </c>
      <c r="I565" s="5">
        <v>0.13</v>
      </c>
      <c r="J565" s="4">
        <v>2636.98</v>
      </c>
      <c r="K565" t="s">
        <v>65</v>
      </c>
      <c r="L565" t="s">
        <v>36</v>
      </c>
      <c r="M565" t="s">
        <v>128</v>
      </c>
      <c r="N565" t="s">
        <v>38</v>
      </c>
      <c r="O565" t="s">
        <v>44</v>
      </c>
    </row>
    <row r="566" spans="1:15" x14ac:dyDescent="0.3">
      <c r="A566" s="2" t="s">
        <v>339</v>
      </c>
      <c r="B566" s="2">
        <v>45712</v>
      </c>
      <c r="C566" t="s">
        <v>152</v>
      </c>
      <c r="D566" t="s">
        <v>58</v>
      </c>
      <c r="E566" t="s">
        <v>59</v>
      </c>
      <c r="F566" t="s">
        <v>59</v>
      </c>
      <c r="G566" s="6">
        <v>1</v>
      </c>
      <c r="H566" s="3">
        <v>387</v>
      </c>
      <c r="I566" s="5">
        <v>0.14000000000000001</v>
      </c>
      <c r="J566" s="4">
        <v>79.81</v>
      </c>
      <c r="K566" t="s">
        <v>28</v>
      </c>
      <c r="L566" t="s">
        <v>149</v>
      </c>
      <c r="M566" t="s">
        <v>150</v>
      </c>
      <c r="N566" t="s">
        <v>38</v>
      </c>
      <c r="O566" t="s">
        <v>44</v>
      </c>
    </row>
    <row r="567" spans="1:15" x14ac:dyDescent="0.3">
      <c r="A567" s="2" t="s">
        <v>1022</v>
      </c>
      <c r="B567" s="2">
        <v>45923</v>
      </c>
      <c r="C567" t="s">
        <v>463</v>
      </c>
      <c r="D567" t="s">
        <v>34</v>
      </c>
      <c r="E567" t="s">
        <v>227</v>
      </c>
      <c r="F567" t="s">
        <v>227</v>
      </c>
      <c r="G567" s="6">
        <v>5</v>
      </c>
      <c r="H567" s="3">
        <v>29900</v>
      </c>
      <c r="I567" s="5">
        <v>0.08</v>
      </c>
      <c r="J567" s="4">
        <v>5382.56</v>
      </c>
      <c r="K567" t="s">
        <v>65</v>
      </c>
      <c r="L567" t="s">
        <v>60</v>
      </c>
      <c r="M567" t="s">
        <v>61</v>
      </c>
      <c r="N567" t="s">
        <v>38</v>
      </c>
      <c r="O567" t="s">
        <v>44</v>
      </c>
    </row>
    <row r="568" spans="1:15" x14ac:dyDescent="0.3">
      <c r="A568" s="2" t="s">
        <v>488</v>
      </c>
      <c r="B568" s="2">
        <v>45747</v>
      </c>
      <c r="C568" t="s">
        <v>489</v>
      </c>
      <c r="D568" t="s">
        <v>17</v>
      </c>
      <c r="E568" t="s">
        <v>18</v>
      </c>
      <c r="F568" t="s">
        <v>18</v>
      </c>
      <c r="G568" s="6">
        <v>3</v>
      </c>
      <c r="H568" s="3">
        <v>74700</v>
      </c>
      <c r="I568" s="5">
        <v>0.17</v>
      </c>
      <c r="J568" s="4">
        <v>6694.74</v>
      </c>
      <c r="K568" t="s">
        <v>49</v>
      </c>
      <c r="L568" t="s">
        <v>86</v>
      </c>
      <c r="M568" t="s">
        <v>87</v>
      </c>
      <c r="N568" t="s">
        <v>38</v>
      </c>
      <c r="O568" t="s">
        <v>23</v>
      </c>
    </row>
    <row r="569" spans="1:15" x14ac:dyDescent="0.3">
      <c r="A569" s="2" t="s">
        <v>15</v>
      </c>
      <c r="B569" s="2">
        <v>45659</v>
      </c>
      <c r="C569" t="s">
        <v>16</v>
      </c>
      <c r="D569" t="s">
        <v>17</v>
      </c>
      <c r="E569" t="s">
        <v>18</v>
      </c>
      <c r="F569" t="s">
        <v>18</v>
      </c>
      <c r="G569" s="6">
        <v>1</v>
      </c>
      <c r="H569" s="3">
        <v>24300</v>
      </c>
      <c r="I569" s="5">
        <v>0.19</v>
      </c>
      <c r="J569" s="4">
        <v>2763.84</v>
      </c>
      <c r="K569" t="s">
        <v>19</v>
      </c>
      <c r="L569" t="s">
        <v>20</v>
      </c>
      <c r="M569" t="s">
        <v>21</v>
      </c>
      <c r="N569" t="s">
        <v>22</v>
      </c>
      <c r="O569" t="s">
        <v>23</v>
      </c>
    </row>
    <row r="570" spans="1:15" x14ac:dyDescent="0.3">
      <c r="A570" s="2" t="s">
        <v>685</v>
      </c>
      <c r="B570" s="2">
        <v>45806</v>
      </c>
      <c r="C570" t="s">
        <v>562</v>
      </c>
      <c r="D570" t="s">
        <v>58</v>
      </c>
      <c r="E570" t="s">
        <v>77</v>
      </c>
      <c r="F570" t="s">
        <v>77</v>
      </c>
      <c r="G570" s="6">
        <v>2</v>
      </c>
      <c r="H570" s="3">
        <v>3204</v>
      </c>
      <c r="I570" s="5">
        <v>0.11</v>
      </c>
      <c r="J570" s="4">
        <v>514.16999999999996</v>
      </c>
      <c r="K570" t="s">
        <v>19</v>
      </c>
      <c r="L570" t="s">
        <v>134</v>
      </c>
      <c r="M570" t="s">
        <v>135</v>
      </c>
      <c r="N570" t="s">
        <v>55</v>
      </c>
      <c r="O570" t="s">
        <v>23</v>
      </c>
    </row>
    <row r="571" spans="1:15" x14ac:dyDescent="0.3">
      <c r="A571" s="2" t="s">
        <v>1049</v>
      </c>
      <c r="B571" s="2">
        <v>45933</v>
      </c>
      <c r="C571" t="s">
        <v>990</v>
      </c>
      <c r="D571" t="s">
        <v>47</v>
      </c>
      <c r="E571" t="s">
        <v>74</v>
      </c>
      <c r="F571" t="s">
        <v>74</v>
      </c>
      <c r="G571" s="6">
        <v>3</v>
      </c>
      <c r="H571" s="3">
        <v>46980</v>
      </c>
      <c r="I571" s="5">
        <v>0.13</v>
      </c>
      <c r="J571" s="4">
        <v>6061.41</v>
      </c>
      <c r="K571" t="s">
        <v>19</v>
      </c>
      <c r="L571" t="s">
        <v>149</v>
      </c>
      <c r="M571" t="s">
        <v>150</v>
      </c>
      <c r="N571" t="s">
        <v>38</v>
      </c>
      <c r="O571" t="s">
        <v>44</v>
      </c>
    </row>
    <row r="572" spans="1:15" x14ac:dyDescent="0.3">
      <c r="A572" s="2" t="s">
        <v>814</v>
      </c>
      <c r="B572" s="2">
        <v>45849</v>
      </c>
      <c r="C572" t="s">
        <v>233</v>
      </c>
      <c r="D572" t="s">
        <v>68</v>
      </c>
      <c r="E572" t="s">
        <v>69</v>
      </c>
      <c r="F572" t="s">
        <v>69</v>
      </c>
      <c r="G572" s="6">
        <v>2</v>
      </c>
      <c r="H572" s="3">
        <v>810</v>
      </c>
      <c r="I572" s="5">
        <v>0.19</v>
      </c>
      <c r="J572" s="4">
        <v>182.77</v>
      </c>
      <c r="K572" t="s">
        <v>49</v>
      </c>
      <c r="L572" t="s">
        <v>170</v>
      </c>
      <c r="M572" t="s">
        <v>171</v>
      </c>
      <c r="N572" t="s">
        <v>31</v>
      </c>
      <c r="O572" t="s">
        <v>23</v>
      </c>
    </row>
    <row r="573" spans="1:15" x14ac:dyDescent="0.3">
      <c r="A573" s="2" t="s">
        <v>1129</v>
      </c>
      <c r="B573" s="2">
        <v>45961</v>
      </c>
      <c r="C573" t="s">
        <v>523</v>
      </c>
      <c r="D573" t="s">
        <v>47</v>
      </c>
      <c r="E573" t="s">
        <v>368</v>
      </c>
      <c r="F573" t="s">
        <v>368</v>
      </c>
      <c r="G573" s="6">
        <v>2</v>
      </c>
      <c r="H573" s="3">
        <v>3060</v>
      </c>
      <c r="I573" s="5">
        <v>0.15</v>
      </c>
      <c r="J573" s="4">
        <v>299.95</v>
      </c>
      <c r="K573" t="s">
        <v>28</v>
      </c>
      <c r="L573" t="s">
        <v>149</v>
      </c>
      <c r="M573" t="s">
        <v>175</v>
      </c>
      <c r="N573" t="s">
        <v>38</v>
      </c>
      <c r="O573" t="s">
        <v>23</v>
      </c>
    </row>
    <row r="574" spans="1:15" x14ac:dyDescent="0.3">
      <c r="A574" s="2" t="s">
        <v>502</v>
      </c>
      <c r="B574" s="2">
        <v>45750</v>
      </c>
      <c r="C574" t="s">
        <v>380</v>
      </c>
      <c r="D574" t="s">
        <v>47</v>
      </c>
      <c r="E574" t="s">
        <v>82</v>
      </c>
      <c r="F574" t="s">
        <v>82</v>
      </c>
      <c r="G574" s="6">
        <v>1</v>
      </c>
      <c r="H574" s="3">
        <v>2800</v>
      </c>
      <c r="I574" s="5">
        <v>0.2</v>
      </c>
      <c r="J574" s="4">
        <v>344.51</v>
      </c>
      <c r="K574" t="s">
        <v>19</v>
      </c>
      <c r="L574" t="s">
        <v>97</v>
      </c>
      <c r="M574" t="s">
        <v>98</v>
      </c>
      <c r="N574" t="s">
        <v>31</v>
      </c>
      <c r="O574" t="s">
        <v>23</v>
      </c>
    </row>
    <row r="575" spans="1:15" x14ac:dyDescent="0.3">
      <c r="A575" s="2" t="s">
        <v>129</v>
      </c>
      <c r="B575" s="2">
        <v>45671</v>
      </c>
      <c r="C575" t="s">
        <v>130</v>
      </c>
      <c r="D575" t="s">
        <v>17</v>
      </c>
      <c r="E575" t="s">
        <v>18</v>
      </c>
      <c r="F575" t="s">
        <v>18</v>
      </c>
      <c r="G575" s="6">
        <v>5</v>
      </c>
      <c r="H575" s="3">
        <v>121500</v>
      </c>
      <c r="I575" s="5">
        <v>0.19</v>
      </c>
      <c r="J575" s="4">
        <v>13270.35</v>
      </c>
      <c r="K575" t="s">
        <v>75</v>
      </c>
      <c r="L575" t="s">
        <v>78</v>
      </c>
      <c r="M575" t="s">
        <v>79</v>
      </c>
      <c r="N575" t="s">
        <v>22</v>
      </c>
      <c r="O575" t="s">
        <v>44</v>
      </c>
    </row>
    <row r="576" spans="1:15" x14ac:dyDescent="0.3">
      <c r="A576" s="2" t="s">
        <v>673</v>
      </c>
      <c r="B576" s="2">
        <v>45802</v>
      </c>
      <c r="C576" t="s">
        <v>169</v>
      </c>
      <c r="D576" t="s">
        <v>47</v>
      </c>
      <c r="E576" t="s">
        <v>74</v>
      </c>
      <c r="F576" t="s">
        <v>74</v>
      </c>
      <c r="G576" s="6">
        <v>1</v>
      </c>
      <c r="H576" s="3">
        <v>16560</v>
      </c>
      <c r="I576" s="5">
        <v>0.08</v>
      </c>
      <c r="J576" s="4">
        <v>1810.08</v>
      </c>
      <c r="K576" t="s">
        <v>28</v>
      </c>
      <c r="L576" t="s">
        <v>97</v>
      </c>
      <c r="M576" t="s">
        <v>163</v>
      </c>
      <c r="N576" t="s">
        <v>31</v>
      </c>
      <c r="O576" t="s">
        <v>23</v>
      </c>
    </row>
    <row r="577" spans="1:15" x14ac:dyDescent="0.3">
      <c r="A577" s="2" t="s">
        <v>885</v>
      </c>
      <c r="B577" s="2">
        <v>45871</v>
      </c>
      <c r="C577" t="s">
        <v>46</v>
      </c>
      <c r="D577" t="s">
        <v>47</v>
      </c>
      <c r="E577" t="s">
        <v>240</v>
      </c>
      <c r="F577" t="s">
        <v>240</v>
      </c>
      <c r="G577" s="6">
        <v>1</v>
      </c>
      <c r="H577" s="3">
        <v>2100</v>
      </c>
      <c r="I577" s="5">
        <v>0.16</v>
      </c>
      <c r="J577" s="4">
        <v>304.06</v>
      </c>
      <c r="K577" t="s">
        <v>75</v>
      </c>
      <c r="L577" t="s">
        <v>134</v>
      </c>
      <c r="M577" t="s">
        <v>135</v>
      </c>
      <c r="N577" t="s">
        <v>55</v>
      </c>
      <c r="O577" t="s">
        <v>23</v>
      </c>
    </row>
    <row r="578" spans="1:15" x14ac:dyDescent="0.3">
      <c r="A578" s="2" t="s">
        <v>595</v>
      </c>
      <c r="B578" s="2">
        <v>45782</v>
      </c>
      <c r="C578" t="s">
        <v>517</v>
      </c>
      <c r="D578" t="s">
        <v>17</v>
      </c>
      <c r="E578" t="s">
        <v>90</v>
      </c>
      <c r="F578" t="s">
        <v>90</v>
      </c>
      <c r="G578" s="6">
        <v>4</v>
      </c>
      <c r="H578" s="3">
        <v>16800</v>
      </c>
      <c r="I578" s="5">
        <v>0.16</v>
      </c>
      <c r="J578" s="4">
        <v>2898.69</v>
      </c>
      <c r="K578" t="s">
        <v>75</v>
      </c>
      <c r="L578" t="s">
        <v>170</v>
      </c>
      <c r="M578" t="s">
        <v>171</v>
      </c>
      <c r="N578" t="s">
        <v>31</v>
      </c>
      <c r="O578" t="s">
        <v>44</v>
      </c>
    </row>
    <row r="579" spans="1:15" x14ac:dyDescent="0.3">
      <c r="A579" s="2" t="s">
        <v>873</v>
      </c>
      <c r="B579" s="2">
        <v>45869</v>
      </c>
      <c r="C579" t="s">
        <v>16</v>
      </c>
      <c r="D579" t="s">
        <v>47</v>
      </c>
      <c r="E579" t="s">
        <v>214</v>
      </c>
      <c r="F579" t="s">
        <v>214</v>
      </c>
      <c r="G579" s="6">
        <v>2</v>
      </c>
      <c r="H579" s="3">
        <v>1530</v>
      </c>
      <c r="I579" s="5">
        <v>0.15</v>
      </c>
      <c r="J579" s="4">
        <v>197.91</v>
      </c>
      <c r="K579" t="s">
        <v>19</v>
      </c>
      <c r="L579" t="s">
        <v>78</v>
      </c>
      <c r="M579" t="s">
        <v>79</v>
      </c>
      <c r="N579" t="s">
        <v>22</v>
      </c>
      <c r="O579" t="s">
        <v>23</v>
      </c>
    </row>
    <row r="580" spans="1:15" x14ac:dyDescent="0.3">
      <c r="A580" s="2" t="s">
        <v>745</v>
      </c>
      <c r="B580" s="2">
        <v>45824</v>
      </c>
      <c r="C580" t="s">
        <v>559</v>
      </c>
      <c r="D580" t="s">
        <v>34</v>
      </c>
      <c r="E580" t="s">
        <v>35</v>
      </c>
      <c r="F580" t="s">
        <v>35</v>
      </c>
      <c r="G580" s="6">
        <v>3</v>
      </c>
      <c r="H580" s="3">
        <v>3132</v>
      </c>
      <c r="I580" s="5">
        <v>0.13</v>
      </c>
      <c r="J580" s="4">
        <v>469.72</v>
      </c>
      <c r="K580" t="s">
        <v>19</v>
      </c>
      <c r="L580" t="s">
        <v>60</v>
      </c>
      <c r="M580" t="s">
        <v>61</v>
      </c>
      <c r="N580" t="s">
        <v>38</v>
      </c>
      <c r="O580" t="s">
        <v>23</v>
      </c>
    </row>
    <row r="581" spans="1:15" x14ac:dyDescent="0.3">
      <c r="A581" s="2" t="s">
        <v>286</v>
      </c>
      <c r="B581" s="2">
        <v>45701</v>
      </c>
      <c r="C581" t="s">
        <v>287</v>
      </c>
      <c r="D581" t="s">
        <v>17</v>
      </c>
      <c r="E581" t="s">
        <v>110</v>
      </c>
      <c r="F581" t="s">
        <v>110</v>
      </c>
      <c r="G581" s="6">
        <v>3</v>
      </c>
      <c r="H581" s="3">
        <v>16770</v>
      </c>
      <c r="I581" s="5">
        <v>0.14000000000000001</v>
      </c>
      <c r="J581" s="4">
        <v>2083.25</v>
      </c>
      <c r="K581" t="s">
        <v>75</v>
      </c>
      <c r="L581" t="s">
        <v>159</v>
      </c>
      <c r="M581" t="s">
        <v>160</v>
      </c>
      <c r="N581" t="s">
        <v>38</v>
      </c>
      <c r="O581" t="s">
        <v>23</v>
      </c>
    </row>
    <row r="582" spans="1:15" x14ac:dyDescent="0.3">
      <c r="A582" s="2" t="s">
        <v>358</v>
      </c>
      <c r="B582" s="2">
        <v>45714</v>
      </c>
      <c r="C582" t="s">
        <v>359</v>
      </c>
      <c r="D582" t="s">
        <v>26</v>
      </c>
      <c r="E582" t="s">
        <v>188</v>
      </c>
      <c r="F582" t="s">
        <v>188</v>
      </c>
      <c r="G582" s="6">
        <v>1</v>
      </c>
      <c r="H582" s="3">
        <v>2580</v>
      </c>
      <c r="I582" s="5">
        <v>0.14000000000000001</v>
      </c>
      <c r="J582" s="4">
        <v>404.63</v>
      </c>
      <c r="K582" t="s">
        <v>65</v>
      </c>
      <c r="L582" t="s">
        <v>86</v>
      </c>
      <c r="M582" t="s">
        <v>87</v>
      </c>
      <c r="N582" t="s">
        <v>38</v>
      </c>
      <c r="O582" t="s">
        <v>23</v>
      </c>
    </row>
    <row r="583" spans="1:15" x14ac:dyDescent="0.3">
      <c r="A583" s="2" t="s">
        <v>777</v>
      </c>
      <c r="B583" s="2">
        <v>45837</v>
      </c>
      <c r="C583" t="s">
        <v>453</v>
      </c>
      <c r="D583" t="s">
        <v>95</v>
      </c>
      <c r="E583" t="s">
        <v>125</v>
      </c>
      <c r="F583" t="s">
        <v>125</v>
      </c>
      <c r="G583" s="6">
        <v>5</v>
      </c>
      <c r="H583" s="3">
        <v>7830</v>
      </c>
      <c r="I583" s="5">
        <v>0.13</v>
      </c>
      <c r="J583" s="4">
        <v>1213.3900000000001</v>
      </c>
      <c r="K583" t="s">
        <v>52</v>
      </c>
      <c r="L583" t="s">
        <v>36</v>
      </c>
      <c r="M583" t="s">
        <v>37</v>
      </c>
      <c r="N583" t="s">
        <v>38</v>
      </c>
      <c r="O583" t="s">
        <v>23</v>
      </c>
    </row>
    <row r="584" spans="1:15" x14ac:dyDescent="0.3">
      <c r="A584" s="2" t="s">
        <v>1086</v>
      </c>
      <c r="B584" s="2">
        <v>45944</v>
      </c>
      <c r="C584" t="s">
        <v>314</v>
      </c>
      <c r="D584" t="s">
        <v>47</v>
      </c>
      <c r="E584" t="s">
        <v>368</v>
      </c>
      <c r="F584" t="s">
        <v>368</v>
      </c>
      <c r="G584" s="6">
        <v>3</v>
      </c>
      <c r="H584" s="3">
        <v>4590</v>
      </c>
      <c r="I584" s="5">
        <v>0.15</v>
      </c>
      <c r="J584" s="4">
        <v>500.04</v>
      </c>
      <c r="K584" t="s">
        <v>49</v>
      </c>
      <c r="L584" t="s">
        <v>86</v>
      </c>
      <c r="M584" t="s">
        <v>87</v>
      </c>
      <c r="N584" t="s">
        <v>38</v>
      </c>
      <c r="O584" t="s">
        <v>44</v>
      </c>
    </row>
    <row r="585" spans="1:15" x14ac:dyDescent="0.3">
      <c r="A585" s="2" t="s">
        <v>567</v>
      </c>
      <c r="B585" s="2">
        <v>45767</v>
      </c>
      <c r="C585" t="s">
        <v>117</v>
      </c>
      <c r="D585" t="s">
        <v>26</v>
      </c>
      <c r="E585" t="s">
        <v>188</v>
      </c>
      <c r="F585" t="s">
        <v>188</v>
      </c>
      <c r="G585" s="6">
        <v>3</v>
      </c>
      <c r="H585" s="3">
        <v>7560</v>
      </c>
      <c r="I585" s="5">
        <v>0.16</v>
      </c>
      <c r="J585" s="4">
        <v>1055.3699999999999</v>
      </c>
      <c r="K585" t="s">
        <v>65</v>
      </c>
      <c r="L585" t="s">
        <v>97</v>
      </c>
      <c r="M585" t="s">
        <v>163</v>
      </c>
      <c r="N585" t="s">
        <v>31</v>
      </c>
      <c r="O585" t="s">
        <v>44</v>
      </c>
    </row>
    <row r="586" spans="1:15" x14ac:dyDescent="0.3">
      <c r="A586" s="2" t="s">
        <v>793</v>
      </c>
      <c r="B586" s="2">
        <v>45843</v>
      </c>
      <c r="C586" t="s">
        <v>526</v>
      </c>
      <c r="D586" t="s">
        <v>58</v>
      </c>
      <c r="E586" t="s">
        <v>59</v>
      </c>
      <c r="F586" t="s">
        <v>59</v>
      </c>
      <c r="G586" s="6">
        <v>2</v>
      </c>
      <c r="H586" s="3">
        <v>774</v>
      </c>
      <c r="I586" s="5">
        <v>0.14000000000000001</v>
      </c>
      <c r="J586" s="4">
        <v>142.05000000000001</v>
      </c>
      <c r="K586" t="s">
        <v>75</v>
      </c>
      <c r="L586" t="s">
        <v>149</v>
      </c>
      <c r="M586" t="s">
        <v>150</v>
      </c>
      <c r="N586" t="s">
        <v>38</v>
      </c>
      <c r="O586" t="s">
        <v>44</v>
      </c>
    </row>
    <row r="587" spans="1:15" x14ac:dyDescent="0.3">
      <c r="A587" s="2" t="s">
        <v>1265</v>
      </c>
      <c r="B587" s="2">
        <v>46007</v>
      </c>
      <c r="C587" t="s">
        <v>625</v>
      </c>
      <c r="D587" t="s">
        <v>34</v>
      </c>
      <c r="E587" t="s">
        <v>143</v>
      </c>
      <c r="F587" t="s">
        <v>143</v>
      </c>
      <c r="G587" s="6">
        <v>5</v>
      </c>
      <c r="H587" s="3">
        <v>3320</v>
      </c>
      <c r="I587" s="5">
        <v>0.17</v>
      </c>
      <c r="J587" s="4">
        <v>677.01</v>
      </c>
      <c r="K587" t="s">
        <v>65</v>
      </c>
      <c r="L587" t="s">
        <v>36</v>
      </c>
      <c r="M587" t="s">
        <v>128</v>
      </c>
      <c r="N587" t="s">
        <v>38</v>
      </c>
      <c r="O587" t="s">
        <v>23</v>
      </c>
    </row>
    <row r="588" spans="1:15" x14ac:dyDescent="0.3">
      <c r="A588" s="2" t="s">
        <v>357</v>
      </c>
      <c r="B588" s="2">
        <v>45714</v>
      </c>
      <c r="C588" t="s">
        <v>275</v>
      </c>
      <c r="D588" t="s">
        <v>47</v>
      </c>
      <c r="E588" t="s">
        <v>224</v>
      </c>
      <c r="F588" t="s">
        <v>224</v>
      </c>
      <c r="G588" s="6">
        <v>5</v>
      </c>
      <c r="H588" s="3">
        <v>23250</v>
      </c>
      <c r="I588" s="5">
        <v>7.0000000000000007E-2</v>
      </c>
      <c r="J588" s="4">
        <v>3196.67</v>
      </c>
      <c r="K588" t="s">
        <v>75</v>
      </c>
      <c r="L588" t="s">
        <v>36</v>
      </c>
      <c r="M588" t="s">
        <v>101</v>
      </c>
      <c r="N588" t="s">
        <v>38</v>
      </c>
      <c r="O588" t="s">
        <v>44</v>
      </c>
    </row>
    <row r="589" spans="1:15" x14ac:dyDescent="0.3">
      <c r="A589" s="2" t="s">
        <v>558</v>
      </c>
      <c r="B589" s="2">
        <v>45765</v>
      </c>
      <c r="C589" t="s">
        <v>559</v>
      </c>
      <c r="D589" t="s">
        <v>58</v>
      </c>
      <c r="E589" t="s">
        <v>77</v>
      </c>
      <c r="F589" t="s">
        <v>77</v>
      </c>
      <c r="G589" s="6">
        <v>1</v>
      </c>
      <c r="H589" s="3">
        <v>1422</v>
      </c>
      <c r="I589" s="5">
        <v>0.21</v>
      </c>
      <c r="J589" s="4">
        <v>212.13</v>
      </c>
      <c r="K589" t="s">
        <v>28</v>
      </c>
      <c r="L589" t="s">
        <v>36</v>
      </c>
      <c r="M589" t="s">
        <v>37</v>
      </c>
      <c r="N589" t="s">
        <v>38</v>
      </c>
      <c r="O589" t="s">
        <v>23</v>
      </c>
    </row>
    <row r="590" spans="1:15" x14ac:dyDescent="0.3">
      <c r="A590" s="2" t="s">
        <v>1002</v>
      </c>
      <c r="B590" s="2">
        <v>45911</v>
      </c>
      <c r="C590" t="s">
        <v>229</v>
      </c>
      <c r="D590" t="s">
        <v>17</v>
      </c>
      <c r="E590" t="s">
        <v>85</v>
      </c>
      <c r="F590" t="s">
        <v>85</v>
      </c>
      <c r="G590" s="6">
        <v>2</v>
      </c>
      <c r="H590" s="3">
        <v>13050</v>
      </c>
      <c r="I590" s="5">
        <v>0.13</v>
      </c>
      <c r="J590" s="4">
        <v>1750.73</v>
      </c>
      <c r="K590" t="s">
        <v>28</v>
      </c>
      <c r="L590" t="s">
        <v>86</v>
      </c>
      <c r="M590" t="s">
        <v>87</v>
      </c>
      <c r="N590" t="s">
        <v>38</v>
      </c>
      <c r="O590" t="s">
        <v>44</v>
      </c>
    </row>
    <row r="591" spans="1:15" x14ac:dyDescent="0.3">
      <c r="A591" s="2" t="s">
        <v>670</v>
      </c>
      <c r="B591" s="2">
        <v>45800</v>
      </c>
      <c r="C591" t="s">
        <v>203</v>
      </c>
      <c r="D591" t="s">
        <v>47</v>
      </c>
      <c r="E591" t="s">
        <v>368</v>
      </c>
      <c r="F591" t="s">
        <v>368</v>
      </c>
      <c r="G591" s="6">
        <v>3</v>
      </c>
      <c r="H591" s="3">
        <v>4860</v>
      </c>
      <c r="I591" s="5">
        <v>0.1</v>
      </c>
      <c r="J591" s="4">
        <v>537.14</v>
      </c>
      <c r="K591" t="s">
        <v>65</v>
      </c>
      <c r="L591" t="s">
        <v>70</v>
      </c>
      <c r="M591" t="s">
        <v>71</v>
      </c>
      <c r="N591" t="s">
        <v>55</v>
      </c>
      <c r="O591" t="s">
        <v>23</v>
      </c>
    </row>
    <row r="592" spans="1:15" x14ac:dyDescent="0.3">
      <c r="A592" s="2" t="s">
        <v>115</v>
      </c>
      <c r="B592" s="2">
        <v>45668</v>
      </c>
      <c r="C592" t="s">
        <v>94</v>
      </c>
      <c r="D592" t="s">
        <v>58</v>
      </c>
      <c r="E592" t="s">
        <v>59</v>
      </c>
      <c r="F592" t="s">
        <v>59</v>
      </c>
      <c r="G592" s="6">
        <v>2</v>
      </c>
      <c r="H592" s="3">
        <v>720</v>
      </c>
      <c r="I592" s="5">
        <v>0.2</v>
      </c>
      <c r="J592" s="4">
        <v>131.87</v>
      </c>
      <c r="K592" t="s">
        <v>28</v>
      </c>
      <c r="L592" t="s">
        <v>20</v>
      </c>
      <c r="M592" t="s">
        <v>21</v>
      </c>
      <c r="N592" t="s">
        <v>22</v>
      </c>
      <c r="O592" t="s">
        <v>44</v>
      </c>
    </row>
    <row r="593" spans="1:15" x14ac:dyDescent="0.3">
      <c r="A593" s="2" t="s">
        <v>695</v>
      </c>
      <c r="B593" s="2">
        <v>45808</v>
      </c>
      <c r="C593" t="s">
        <v>459</v>
      </c>
      <c r="D593" t="s">
        <v>34</v>
      </c>
      <c r="E593" t="s">
        <v>227</v>
      </c>
      <c r="F593" t="s">
        <v>227</v>
      </c>
      <c r="G593" s="6">
        <v>2</v>
      </c>
      <c r="H593" s="3">
        <v>11310</v>
      </c>
      <c r="I593" s="5">
        <v>0.13</v>
      </c>
      <c r="J593" s="4">
        <v>1480.83</v>
      </c>
      <c r="K593" t="s">
        <v>52</v>
      </c>
      <c r="L593" t="s">
        <v>97</v>
      </c>
      <c r="M593" t="s">
        <v>163</v>
      </c>
      <c r="N593" t="s">
        <v>31</v>
      </c>
      <c r="O593" t="s">
        <v>23</v>
      </c>
    </row>
    <row r="594" spans="1:15" x14ac:dyDescent="0.3">
      <c r="A594" s="2" t="s">
        <v>1277</v>
      </c>
      <c r="B594" s="2">
        <v>46014</v>
      </c>
      <c r="C594" t="s">
        <v>562</v>
      </c>
      <c r="D594" t="s">
        <v>95</v>
      </c>
      <c r="E594" t="s">
        <v>96</v>
      </c>
      <c r="F594" t="s">
        <v>96</v>
      </c>
      <c r="G594" s="6">
        <v>4</v>
      </c>
      <c r="H594" s="3">
        <v>2772</v>
      </c>
      <c r="I594" s="5">
        <v>0.23</v>
      </c>
      <c r="J594" s="4">
        <v>504.49</v>
      </c>
      <c r="K594" t="s">
        <v>28</v>
      </c>
      <c r="L594" t="s">
        <v>36</v>
      </c>
      <c r="M594" t="s">
        <v>101</v>
      </c>
      <c r="N594" t="s">
        <v>38</v>
      </c>
      <c r="O594" t="s">
        <v>23</v>
      </c>
    </row>
    <row r="595" spans="1:15" x14ac:dyDescent="0.3">
      <c r="A595" s="2" t="s">
        <v>1209</v>
      </c>
      <c r="B595" s="2">
        <v>45990</v>
      </c>
      <c r="C595" t="s">
        <v>203</v>
      </c>
      <c r="D595" t="s">
        <v>17</v>
      </c>
      <c r="E595" t="s">
        <v>18</v>
      </c>
      <c r="F595" t="s">
        <v>18</v>
      </c>
      <c r="G595" s="6">
        <v>5</v>
      </c>
      <c r="H595" s="3">
        <v>111000</v>
      </c>
      <c r="I595" s="5">
        <v>0.26</v>
      </c>
      <c r="J595" s="4">
        <v>7008.8</v>
      </c>
      <c r="K595" t="s">
        <v>52</v>
      </c>
      <c r="L595" t="s">
        <v>29</v>
      </c>
      <c r="M595" t="s">
        <v>30</v>
      </c>
      <c r="N595" t="s">
        <v>31</v>
      </c>
      <c r="O595" t="s">
        <v>23</v>
      </c>
    </row>
    <row r="596" spans="1:15" x14ac:dyDescent="0.3">
      <c r="A596" s="2" t="s">
        <v>757</v>
      </c>
      <c r="B596" s="2">
        <v>45828</v>
      </c>
      <c r="C596" t="s">
        <v>486</v>
      </c>
      <c r="D596" t="s">
        <v>34</v>
      </c>
      <c r="E596" t="s">
        <v>107</v>
      </c>
      <c r="F596" t="s">
        <v>107</v>
      </c>
      <c r="G596" s="6">
        <v>2</v>
      </c>
      <c r="H596" s="3">
        <v>8010</v>
      </c>
      <c r="I596" s="5">
        <v>0.11</v>
      </c>
      <c r="J596" s="4">
        <v>716.31</v>
      </c>
      <c r="K596" t="s">
        <v>75</v>
      </c>
      <c r="L596" t="s">
        <v>159</v>
      </c>
      <c r="M596" t="s">
        <v>160</v>
      </c>
      <c r="N596" t="s">
        <v>38</v>
      </c>
      <c r="O596" t="s">
        <v>23</v>
      </c>
    </row>
    <row r="597" spans="1:15" x14ac:dyDescent="0.3">
      <c r="A597" s="2" t="s">
        <v>1220</v>
      </c>
      <c r="B597" s="2">
        <v>45993</v>
      </c>
      <c r="C597" t="s">
        <v>81</v>
      </c>
      <c r="D597" t="s">
        <v>68</v>
      </c>
      <c r="E597" t="s">
        <v>69</v>
      </c>
      <c r="F597" t="s">
        <v>69</v>
      </c>
      <c r="G597" s="6">
        <v>4</v>
      </c>
      <c r="H597" s="3">
        <v>1620</v>
      </c>
      <c r="I597" s="5">
        <v>0.19</v>
      </c>
      <c r="J597" s="4">
        <v>302.77999999999997</v>
      </c>
      <c r="K597" t="s">
        <v>49</v>
      </c>
      <c r="L597" t="s">
        <v>149</v>
      </c>
      <c r="M597" t="s">
        <v>175</v>
      </c>
      <c r="N597" t="s">
        <v>38</v>
      </c>
      <c r="O597" t="s">
        <v>44</v>
      </c>
    </row>
    <row r="598" spans="1:15" x14ac:dyDescent="0.3">
      <c r="A598" s="2" t="s">
        <v>382</v>
      </c>
      <c r="B598" s="2">
        <v>45720</v>
      </c>
      <c r="C598" t="s">
        <v>383</v>
      </c>
      <c r="D598" t="s">
        <v>68</v>
      </c>
      <c r="E598" t="s">
        <v>237</v>
      </c>
      <c r="F598" t="s">
        <v>237</v>
      </c>
      <c r="G598" s="6">
        <v>4</v>
      </c>
      <c r="H598" s="3">
        <v>2916</v>
      </c>
      <c r="I598" s="5">
        <v>0.19</v>
      </c>
      <c r="J598" s="4">
        <v>712.31</v>
      </c>
      <c r="K598" t="s">
        <v>75</v>
      </c>
      <c r="L598" t="s">
        <v>20</v>
      </c>
      <c r="M598" t="s">
        <v>21</v>
      </c>
      <c r="N598" t="s">
        <v>22</v>
      </c>
      <c r="O598" t="s">
        <v>23</v>
      </c>
    </row>
    <row r="599" spans="1:15" x14ac:dyDescent="0.3">
      <c r="A599" s="2" t="s">
        <v>410</v>
      </c>
      <c r="B599" s="2">
        <v>45726</v>
      </c>
      <c r="C599" t="s">
        <v>278</v>
      </c>
      <c r="D599" t="s">
        <v>68</v>
      </c>
      <c r="E599" t="s">
        <v>237</v>
      </c>
      <c r="F599" t="s">
        <v>237</v>
      </c>
      <c r="G599" s="6">
        <v>5</v>
      </c>
      <c r="H599" s="3">
        <v>3375</v>
      </c>
      <c r="I599" s="5">
        <v>0.25</v>
      </c>
      <c r="J599" s="4">
        <v>509.33</v>
      </c>
      <c r="K599" t="s">
        <v>49</v>
      </c>
      <c r="L599" t="s">
        <v>134</v>
      </c>
      <c r="M599" t="s">
        <v>135</v>
      </c>
      <c r="N599" t="s">
        <v>55</v>
      </c>
      <c r="O599" t="s">
        <v>44</v>
      </c>
    </row>
    <row r="600" spans="1:15" x14ac:dyDescent="0.3">
      <c r="A600" s="2" t="s">
        <v>980</v>
      </c>
      <c r="B600" s="2">
        <v>45903</v>
      </c>
      <c r="C600" t="s">
        <v>244</v>
      </c>
      <c r="D600" t="s">
        <v>58</v>
      </c>
      <c r="E600" t="s">
        <v>59</v>
      </c>
      <c r="F600" t="s">
        <v>59</v>
      </c>
      <c r="G600" s="6">
        <v>1</v>
      </c>
      <c r="H600" s="3">
        <v>342</v>
      </c>
      <c r="I600" s="5">
        <v>0.24</v>
      </c>
      <c r="J600" s="4">
        <v>56.42</v>
      </c>
      <c r="K600" t="s">
        <v>52</v>
      </c>
      <c r="L600" t="s">
        <v>149</v>
      </c>
      <c r="M600" t="s">
        <v>150</v>
      </c>
      <c r="N600" t="s">
        <v>38</v>
      </c>
      <c r="O600" t="s">
        <v>44</v>
      </c>
    </row>
    <row r="601" spans="1:15" x14ac:dyDescent="0.3">
      <c r="A601" s="2" t="s">
        <v>837</v>
      </c>
      <c r="B601" s="2">
        <v>45856</v>
      </c>
      <c r="C601" t="s">
        <v>492</v>
      </c>
      <c r="D601" t="s">
        <v>26</v>
      </c>
      <c r="E601" t="s">
        <v>118</v>
      </c>
      <c r="F601" t="s">
        <v>118</v>
      </c>
      <c r="G601" s="6">
        <v>1</v>
      </c>
      <c r="H601" s="3">
        <v>1476</v>
      </c>
      <c r="I601" s="5">
        <v>0.18</v>
      </c>
      <c r="J601" s="4">
        <v>318.83999999999997</v>
      </c>
      <c r="K601" t="s">
        <v>49</v>
      </c>
      <c r="L601" t="s">
        <v>70</v>
      </c>
      <c r="M601" t="s">
        <v>71</v>
      </c>
      <c r="N601" t="s">
        <v>55</v>
      </c>
      <c r="O601" t="s">
        <v>44</v>
      </c>
    </row>
    <row r="602" spans="1:15" x14ac:dyDescent="0.3">
      <c r="A602" s="2" t="s">
        <v>896</v>
      </c>
      <c r="B602" s="2">
        <v>45873</v>
      </c>
      <c r="C602" t="s">
        <v>721</v>
      </c>
      <c r="D602" t="s">
        <v>58</v>
      </c>
      <c r="E602" t="s">
        <v>59</v>
      </c>
      <c r="F602" t="s">
        <v>59</v>
      </c>
      <c r="G602" s="6">
        <v>4</v>
      </c>
      <c r="H602" s="3">
        <v>1422</v>
      </c>
      <c r="I602" s="5">
        <v>0.21</v>
      </c>
      <c r="J602" s="4">
        <v>267.04000000000002</v>
      </c>
      <c r="K602" t="s">
        <v>19</v>
      </c>
      <c r="L602" t="s">
        <v>149</v>
      </c>
      <c r="M602" t="s">
        <v>150</v>
      </c>
      <c r="N602" t="s">
        <v>38</v>
      </c>
      <c r="O602" t="s">
        <v>23</v>
      </c>
    </row>
    <row r="603" spans="1:15" x14ac:dyDescent="0.3">
      <c r="A603" s="2" t="s">
        <v>886</v>
      </c>
      <c r="B603" s="2">
        <v>45871</v>
      </c>
      <c r="C603" t="s">
        <v>677</v>
      </c>
      <c r="D603" t="s">
        <v>26</v>
      </c>
      <c r="E603" t="s">
        <v>27</v>
      </c>
      <c r="F603" t="s">
        <v>27</v>
      </c>
      <c r="G603" s="6">
        <v>1</v>
      </c>
      <c r="H603" s="3">
        <v>1120</v>
      </c>
      <c r="I603" s="5">
        <v>0.2</v>
      </c>
      <c r="J603" s="4">
        <v>244.38</v>
      </c>
      <c r="K603" t="s">
        <v>65</v>
      </c>
      <c r="L603" t="s">
        <v>134</v>
      </c>
      <c r="M603" t="s">
        <v>135</v>
      </c>
      <c r="N603" t="s">
        <v>55</v>
      </c>
      <c r="O603" t="s">
        <v>23</v>
      </c>
    </row>
    <row r="604" spans="1:15" x14ac:dyDescent="0.3">
      <c r="A604" s="2" t="s">
        <v>1244</v>
      </c>
      <c r="B604" s="2">
        <v>46000</v>
      </c>
      <c r="C604" t="s">
        <v>16</v>
      </c>
      <c r="D604" t="s">
        <v>34</v>
      </c>
      <c r="E604" t="s">
        <v>35</v>
      </c>
      <c r="F604" t="s">
        <v>35</v>
      </c>
      <c r="G604" s="6">
        <v>3</v>
      </c>
      <c r="H604" s="3">
        <v>2952</v>
      </c>
      <c r="I604" s="5">
        <v>0.18</v>
      </c>
      <c r="J604" s="4">
        <v>537.25</v>
      </c>
      <c r="K604" t="s">
        <v>52</v>
      </c>
      <c r="L604" t="s">
        <v>70</v>
      </c>
      <c r="M604" t="s">
        <v>71</v>
      </c>
      <c r="N604" t="s">
        <v>55</v>
      </c>
      <c r="O604" t="s">
        <v>23</v>
      </c>
    </row>
    <row r="605" spans="1:15" x14ac:dyDescent="0.3">
      <c r="A605" s="2" t="s">
        <v>300</v>
      </c>
      <c r="B605" s="2">
        <v>45702</v>
      </c>
      <c r="C605" t="s">
        <v>301</v>
      </c>
      <c r="D605" t="s">
        <v>34</v>
      </c>
      <c r="E605" t="s">
        <v>302</v>
      </c>
      <c r="F605" t="s">
        <v>302</v>
      </c>
      <c r="G605" s="6">
        <v>2</v>
      </c>
      <c r="H605" s="3">
        <v>5670</v>
      </c>
      <c r="I605" s="5">
        <v>0.19</v>
      </c>
      <c r="J605" s="4">
        <v>749.58</v>
      </c>
      <c r="K605" t="s">
        <v>65</v>
      </c>
      <c r="L605" t="s">
        <v>20</v>
      </c>
      <c r="M605" t="s">
        <v>21</v>
      </c>
      <c r="N605" t="s">
        <v>22</v>
      </c>
      <c r="O605" t="s">
        <v>44</v>
      </c>
    </row>
    <row r="606" spans="1:15" x14ac:dyDescent="0.3">
      <c r="A606" s="2" t="s">
        <v>403</v>
      </c>
      <c r="B606" s="2">
        <v>45725</v>
      </c>
      <c r="C606" t="s">
        <v>291</v>
      </c>
      <c r="D606" t="s">
        <v>68</v>
      </c>
      <c r="E606" t="s">
        <v>237</v>
      </c>
      <c r="F606" t="s">
        <v>237</v>
      </c>
      <c r="G606" s="6">
        <v>1</v>
      </c>
      <c r="H606" s="3">
        <v>765</v>
      </c>
      <c r="I606" s="5">
        <v>0.15</v>
      </c>
      <c r="J606" s="4">
        <v>136.53</v>
      </c>
      <c r="K606" t="s">
        <v>75</v>
      </c>
      <c r="L606" t="s">
        <v>149</v>
      </c>
      <c r="M606" t="s">
        <v>175</v>
      </c>
      <c r="N606" t="s">
        <v>38</v>
      </c>
      <c r="O606" t="s">
        <v>23</v>
      </c>
    </row>
    <row r="607" spans="1:15" x14ac:dyDescent="0.3">
      <c r="A607" s="2" t="s">
        <v>612</v>
      </c>
      <c r="B607" s="2">
        <v>45785</v>
      </c>
      <c r="C607" t="s">
        <v>285</v>
      </c>
      <c r="D607" t="s">
        <v>26</v>
      </c>
      <c r="E607" t="s">
        <v>64</v>
      </c>
      <c r="F607" t="s">
        <v>64</v>
      </c>
      <c r="G607" s="6">
        <v>3</v>
      </c>
      <c r="H607" s="3">
        <v>1998</v>
      </c>
      <c r="I607" s="5">
        <v>0.26</v>
      </c>
      <c r="J607" s="4">
        <v>432.25</v>
      </c>
      <c r="K607" t="s">
        <v>52</v>
      </c>
      <c r="L607" t="s">
        <v>134</v>
      </c>
      <c r="M607" t="s">
        <v>135</v>
      </c>
      <c r="N607" t="s">
        <v>55</v>
      </c>
      <c r="O607" t="s">
        <v>44</v>
      </c>
    </row>
    <row r="608" spans="1:15" x14ac:dyDescent="0.3">
      <c r="A608" s="2" t="s">
        <v>792</v>
      </c>
      <c r="B608" s="2">
        <v>45842</v>
      </c>
      <c r="C608" t="s">
        <v>261</v>
      </c>
      <c r="D608" t="s">
        <v>95</v>
      </c>
      <c r="E608" t="s">
        <v>185</v>
      </c>
      <c r="F608" t="s">
        <v>185</v>
      </c>
      <c r="G608" s="6">
        <v>2</v>
      </c>
      <c r="H608" s="3">
        <v>2088</v>
      </c>
      <c r="I608" s="5">
        <v>0.13</v>
      </c>
      <c r="J608" s="4">
        <v>435.06</v>
      </c>
      <c r="K608" t="s">
        <v>65</v>
      </c>
      <c r="L608" t="s">
        <v>159</v>
      </c>
      <c r="M608" t="s">
        <v>160</v>
      </c>
      <c r="N608" t="s">
        <v>38</v>
      </c>
      <c r="O608" t="s">
        <v>23</v>
      </c>
    </row>
    <row r="609" spans="1:15" x14ac:dyDescent="0.3">
      <c r="A609" s="2" t="s">
        <v>511</v>
      </c>
      <c r="B609" s="2">
        <v>45754</v>
      </c>
      <c r="C609" t="s">
        <v>280</v>
      </c>
      <c r="D609" t="s">
        <v>58</v>
      </c>
      <c r="E609" t="s">
        <v>138</v>
      </c>
      <c r="F609" t="s">
        <v>138</v>
      </c>
      <c r="G609" s="6">
        <v>1</v>
      </c>
      <c r="H609" s="3">
        <v>1804</v>
      </c>
      <c r="I609" s="5">
        <v>0.18</v>
      </c>
      <c r="J609" s="4">
        <v>289.58999999999997</v>
      </c>
      <c r="K609" t="s">
        <v>75</v>
      </c>
      <c r="L609" t="s">
        <v>29</v>
      </c>
      <c r="M609" t="s">
        <v>30</v>
      </c>
      <c r="N609" t="s">
        <v>31</v>
      </c>
      <c r="O609" t="s">
        <v>44</v>
      </c>
    </row>
    <row r="610" spans="1:15" x14ac:dyDescent="0.3">
      <c r="A610" s="2" t="s">
        <v>957</v>
      </c>
      <c r="B610" s="2">
        <v>45895</v>
      </c>
      <c r="C610" t="s">
        <v>67</v>
      </c>
      <c r="D610" t="s">
        <v>26</v>
      </c>
      <c r="E610" t="s">
        <v>118</v>
      </c>
      <c r="F610" t="s">
        <v>118</v>
      </c>
      <c r="G610" s="6">
        <v>2</v>
      </c>
      <c r="H610" s="3">
        <v>3168</v>
      </c>
      <c r="I610" s="5">
        <v>0.12</v>
      </c>
      <c r="J610" s="4">
        <v>540.84</v>
      </c>
      <c r="K610" t="s">
        <v>28</v>
      </c>
      <c r="L610" t="s">
        <v>149</v>
      </c>
      <c r="M610" t="s">
        <v>175</v>
      </c>
      <c r="N610" t="s">
        <v>38</v>
      </c>
      <c r="O610" t="s">
        <v>23</v>
      </c>
    </row>
    <row r="611" spans="1:15" x14ac:dyDescent="0.3">
      <c r="A611" s="2" t="s">
        <v>356</v>
      </c>
      <c r="B611" s="2">
        <v>45714</v>
      </c>
      <c r="C611" t="s">
        <v>147</v>
      </c>
      <c r="D611" t="s">
        <v>58</v>
      </c>
      <c r="E611" t="s">
        <v>138</v>
      </c>
      <c r="F611" t="s">
        <v>138</v>
      </c>
      <c r="G611" s="6">
        <v>1</v>
      </c>
      <c r="H611" s="3">
        <v>1870</v>
      </c>
      <c r="I611" s="5">
        <v>0.15</v>
      </c>
      <c r="J611" s="4">
        <v>269.92</v>
      </c>
      <c r="K611" t="s">
        <v>49</v>
      </c>
      <c r="L611" t="s">
        <v>208</v>
      </c>
      <c r="M611" t="s">
        <v>209</v>
      </c>
      <c r="N611" t="s">
        <v>31</v>
      </c>
      <c r="O611" t="s">
        <v>44</v>
      </c>
    </row>
    <row r="612" spans="1:15" x14ac:dyDescent="0.3">
      <c r="A612" s="2" t="s">
        <v>344</v>
      </c>
      <c r="B612" s="2">
        <v>45712</v>
      </c>
      <c r="C612" t="s">
        <v>345</v>
      </c>
      <c r="D612" t="s">
        <v>34</v>
      </c>
      <c r="E612" t="s">
        <v>35</v>
      </c>
      <c r="F612" t="s">
        <v>35</v>
      </c>
      <c r="G612" s="6">
        <v>2</v>
      </c>
      <c r="H612" s="3">
        <v>1824</v>
      </c>
      <c r="I612" s="5">
        <v>0.24</v>
      </c>
      <c r="J612" s="4">
        <v>299.23</v>
      </c>
      <c r="K612" t="s">
        <v>49</v>
      </c>
      <c r="L612" t="s">
        <v>60</v>
      </c>
      <c r="M612" t="s">
        <v>61</v>
      </c>
      <c r="N612" t="s">
        <v>38</v>
      </c>
      <c r="O612" t="s">
        <v>23</v>
      </c>
    </row>
    <row r="613" spans="1:15" x14ac:dyDescent="0.3">
      <c r="A613" s="2" t="s">
        <v>480</v>
      </c>
      <c r="B613" s="2">
        <v>45744</v>
      </c>
      <c r="C613" t="s">
        <v>481</v>
      </c>
      <c r="D613" t="s">
        <v>17</v>
      </c>
      <c r="E613" t="s">
        <v>85</v>
      </c>
      <c r="F613" t="s">
        <v>85</v>
      </c>
      <c r="G613" s="6">
        <v>1</v>
      </c>
      <c r="H613" s="3">
        <v>6000</v>
      </c>
      <c r="I613" s="5">
        <v>0.2</v>
      </c>
      <c r="J613" s="4">
        <v>805.28</v>
      </c>
      <c r="K613" t="s">
        <v>19</v>
      </c>
      <c r="L613" t="s">
        <v>29</v>
      </c>
      <c r="M613" t="s">
        <v>30</v>
      </c>
      <c r="N613" t="s">
        <v>31</v>
      </c>
      <c r="O613" t="s">
        <v>23</v>
      </c>
    </row>
    <row r="614" spans="1:15" x14ac:dyDescent="0.3">
      <c r="A614" s="2" t="s">
        <v>1200</v>
      </c>
      <c r="B614" s="2">
        <v>45986</v>
      </c>
      <c r="C614" t="s">
        <v>278</v>
      </c>
      <c r="D614" t="s">
        <v>34</v>
      </c>
      <c r="E614" t="s">
        <v>41</v>
      </c>
      <c r="F614" t="s">
        <v>41</v>
      </c>
      <c r="G614" s="6">
        <v>1</v>
      </c>
      <c r="H614" s="3">
        <v>4050</v>
      </c>
      <c r="I614" s="5">
        <v>0.19</v>
      </c>
      <c r="J614" s="4">
        <v>518.22</v>
      </c>
      <c r="K614" t="s">
        <v>28</v>
      </c>
      <c r="L614" t="s">
        <v>134</v>
      </c>
      <c r="M614" t="s">
        <v>135</v>
      </c>
      <c r="N614" t="s">
        <v>55</v>
      </c>
      <c r="O614" t="s">
        <v>23</v>
      </c>
    </row>
    <row r="615" spans="1:15" x14ac:dyDescent="0.3">
      <c r="A615" s="2" t="s">
        <v>268</v>
      </c>
      <c r="B615" s="2">
        <v>45696</v>
      </c>
      <c r="C615" t="s">
        <v>269</v>
      </c>
      <c r="D615" t="s">
        <v>68</v>
      </c>
      <c r="E615" t="s">
        <v>69</v>
      </c>
      <c r="F615" t="s">
        <v>69</v>
      </c>
      <c r="G615" s="6">
        <v>3</v>
      </c>
      <c r="H615" s="3">
        <v>1140</v>
      </c>
      <c r="I615" s="5">
        <v>0.24</v>
      </c>
      <c r="J615" s="4">
        <v>261.58999999999997</v>
      </c>
      <c r="K615" t="s">
        <v>65</v>
      </c>
      <c r="L615" t="s">
        <v>208</v>
      </c>
      <c r="M615" t="s">
        <v>209</v>
      </c>
      <c r="N615" t="s">
        <v>31</v>
      </c>
      <c r="O615" t="s">
        <v>44</v>
      </c>
    </row>
    <row r="616" spans="1:15" x14ac:dyDescent="0.3">
      <c r="A616" s="2" t="s">
        <v>674</v>
      </c>
      <c r="B616" s="2">
        <v>45803</v>
      </c>
      <c r="C616" t="s">
        <v>507</v>
      </c>
      <c r="D616" t="s">
        <v>34</v>
      </c>
      <c r="E616" t="s">
        <v>143</v>
      </c>
      <c r="F616" t="s">
        <v>143</v>
      </c>
      <c r="G616" s="6">
        <v>1</v>
      </c>
      <c r="H616" s="3">
        <v>600</v>
      </c>
      <c r="I616" s="5">
        <v>0.25</v>
      </c>
      <c r="J616" s="4">
        <v>98.85</v>
      </c>
      <c r="K616" t="s">
        <v>52</v>
      </c>
      <c r="L616" t="s">
        <v>36</v>
      </c>
      <c r="M616" t="s">
        <v>101</v>
      </c>
      <c r="N616" t="s">
        <v>38</v>
      </c>
      <c r="O616" t="s">
        <v>44</v>
      </c>
    </row>
    <row r="617" spans="1:15" x14ac:dyDescent="0.3">
      <c r="A617" s="2" t="s">
        <v>1040</v>
      </c>
      <c r="B617" s="2">
        <v>45928</v>
      </c>
      <c r="C617" t="s">
        <v>211</v>
      </c>
      <c r="D617" t="s">
        <v>58</v>
      </c>
      <c r="E617" t="s">
        <v>77</v>
      </c>
      <c r="F617" t="s">
        <v>77</v>
      </c>
      <c r="G617" s="6">
        <v>3</v>
      </c>
      <c r="H617" s="3">
        <v>4482</v>
      </c>
      <c r="I617" s="5">
        <v>0.17</v>
      </c>
      <c r="J617" s="4">
        <v>616.29</v>
      </c>
      <c r="K617" t="s">
        <v>28</v>
      </c>
      <c r="L617" t="s">
        <v>159</v>
      </c>
      <c r="M617" t="s">
        <v>160</v>
      </c>
      <c r="N617" t="s">
        <v>38</v>
      </c>
      <c r="O617" t="s">
        <v>23</v>
      </c>
    </row>
    <row r="618" spans="1:15" x14ac:dyDescent="0.3">
      <c r="A618" s="2" t="s">
        <v>878</v>
      </c>
      <c r="B618" s="2">
        <v>45870</v>
      </c>
      <c r="C618" t="s">
        <v>266</v>
      </c>
      <c r="D618" t="s">
        <v>47</v>
      </c>
      <c r="E618" t="s">
        <v>194</v>
      </c>
      <c r="F618" t="s">
        <v>194</v>
      </c>
      <c r="G618" s="6">
        <v>5</v>
      </c>
      <c r="H618" s="3">
        <v>244750</v>
      </c>
      <c r="I618" s="5">
        <v>0.11</v>
      </c>
      <c r="J618" s="4">
        <v>42808.14</v>
      </c>
      <c r="K618" t="s">
        <v>19</v>
      </c>
      <c r="L618" t="s">
        <v>53</v>
      </c>
      <c r="M618" t="s">
        <v>54</v>
      </c>
      <c r="N618" t="s">
        <v>55</v>
      </c>
      <c r="O618" t="s">
        <v>44</v>
      </c>
    </row>
    <row r="619" spans="1:15" x14ac:dyDescent="0.3">
      <c r="A619" s="2" t="s">
        <v>465</v>
      </c>
      <c r="B619" s="2">
        <v>45739</v>
      </c>
      <c r="C619" t="s">
        <v>422</v>
      </c>
      <c r="D619" t="s">
        <v>47</v>
      </c>
      <c r="E619" t="s">
        <v>214</v>
      </c>
      <c r="F619" t="s">
        <v>214</v>
      </c>
      <c r="G619" s="6">
        <v>2</v>
      </c>
      <c r="H619" s="3">
        <v>1512</v>
      </c>
      <c r="I619" s="5">
        <v>0.16</v>
      </c>
      <c r="J619" s="4">
        <v>248.56</v>
      </c>
      <c r="K619" t="s">
        <v>75</v>
      </c>
      <c r="L619" t="s">
        <v>149</v>
      </c>
      <c r="M619" t="s">
        <v>150</v>
      </c>
      <c r="N619" t="s">
        <v>38</v>
      </c>
      <c r="O619" t="s">
        <v>23</v>
      </c>
    </row>
    <row r="620" spans="1:15" x14ac:dyDescent="0.3">
      <c r="A620" s="2" t="s">
        <v>841</v>
      </c>
      <c r="B620" s="2">
        <v>45858</v>
      </c>
      <c r="C620" t="s">
        <v>183</v>
      </c>
      <c r="D620" t="s">
        <v>47</v>
      </c>
      <c r="E620" t="s">
        <v>214</v>
      </c>
      <c r="F620" t="s">
        <v>214</v>
      </c>
      <c r="G620" s="6">
        <v>1</v>
      </c>
      <c r="H620" s="3">
        <v>738</v>
      </c>
      <c r="I620" s="5">
        <v>0.18</v>
      </c>
      <c r="J620" s="4">
        <v>105.32</v>
      </c>
      <c r="K620" t="s">
        <v>52</v>
      </c>
      <c r="L620" t="s">
        <v>86</v>
      </c>
      <c r="M620" t="s">
        <v>87</v>
      </c>
      <c r="N620" t="s">
        <v>38</v>
      </c>
      <c r="O620" t="s">
        <v>23</v>
      </c>
    </row>
    <row r="621" spans="1:15" x14ac:dyDescent="0.3">
      <c r="A621" s="2" t="s">
        <v>953</v>
      </c>
      <c r="B621" s="2">
        <v>45892</v>
      </c>
      <c r="C621" t="s">
        <v>559</v>
      </c>
      <c r="D621" t="s">
        <v>17</v>
      </c>
      <c r="E621" t="s">
        <v>18</v>
      </c>
      <c r="F621" t="s">
        <v>18</v>
      </c>
      <c r="G621" s="6">
        <v>2</v>
      </c>
      <c r="H621" s="3">
        <v>49800</v>
      </c>
      <c r="I621" s="5">
        <v>0.17</v>
      </c>
      <c r="J621" s="4">
        <v>4043.21</v>
      </c>
      <c r="K621" t="s">
        <v>65</v>
      </c>
      <c r="L621" t="s">
        <v>60</v>
      </c>
      <c r="M621" t="s">
        <v>61</v>
      </c>
      <c r="N621" t="s">
        <v>38</v>
      </c>
      <c r="O621" t="s">
        <v>44</v>
      </c>
    </row>
    <row r="622" spans="1:15" x14ac:dyDescent="0.3">
      <c r="A622" s="2" t="s">
        <v>790</v>
      </c>
      <c r="B622" s="2">
        <v>45842</v>
      </c>
      <c r="C622" t="s">
        <v>791</v>
      </c>
      <c r="D622" t="s">
        <v>95</v>
      </c>
      <c r="E622" t="s">
        <v>185</v>
      </c>
      <c r="F622" t="s">
        <v>185</v>
      </c>
      <c r="G622" s="6">
        <v>5</v>
      </c>
      <c r="H622" s="3">
        <v>5160</v>
      </c>
      <c r="I622" s="5">
        <v>0.14000000000000001</v>
      </c>
      <c r="J622" s="4">
        <v>749.96</v>
      </c>
      <c r="K622" t="s">
        <v>65</v>
      </c>
      <c r="L622" t="s">
        <v>60</v>
      </c>
      <c r="M622" t="s">
        <v>61</v>
      </c>
      <c r="N622" t="s">
        <v>38</v>
      </c>
      <c r="O622" t="s">
        <v>23</v>
      </c>
    </row>
    <row r="623" spans="1:15" x14ac:dyDescent="0.3">
      <c r="A623" s="2" t="s">
        <v>428</v>
      </c>
      <c r="B623" s="2">
        <v>45731</v>
      </c>
      <c r="C623" t="s">
        <v>429</v>
      </c>
      <c r="D623" t="s">
        <v>34</v>
      </c>
      <c r="E623" t="s">
        <v>107</v>
      </c>
      <c r="F623" t="s">
        <v>107</v>
      </c>
      <c r="G623" s="6">
        <v>5</v>
      </c>
      <c r="H623" s="3">
        <v>19800</v>
      </c>
      <c r="I623" s="5">
        <v>0.12</v>
      </c>
      <c r="J623" s="4">
        <v>3242.04</v>
      </c>
      <c r="K623" t="s">
        <v>49</v>
      </c>
      <c r="L623" t="s">
        <v>208</v>
      </c>
      <c r="M623" t="s">
        <v>209</v>
      </c>
      <c r="N623" t="s">
        <v>31</v>
      </c>
      <c r="O623" t="s">
        <v>23</v>
      </c>
    </row>
    <row r="624" spans="1:15" x14ac:dyDescent="0.3">
      <c r="A624" s="2" t="s">
        <v>732</v>
      </c>
      <c r="B624" s="2">
        <v>45819</v>
      </c>
      <c r="C624" t="s">
        <v>651</v>
      </c>
      <c r="D624" t="s">
        <v>47</v>
      </c>
      <c r="E624" t="s">
        <v>82</v>
      </c>
      <c r="F624" t="s">
        <v>82</v>
      </c>
      <c r="G624" s="6">
        <v>1</v>
      </c>
      <c r="H624" s="3">
        <v>2835</v>
      </c>
      <c r="I624" s="5">
        <v>0.19</v>
      </c>
      <c r="J624" s="4">
        <v>383.12</v>
      </c>
      <c r="K624" t="s">
        <v>65</v>
      </c>
      <c r="L624" t="s">
        <v>36</v>
      </c>
      <c r="M624" t="s">
        <v>37</v>
      </c>
      <c r="N624" t="s">
        <v>38</v>
      </c>
      <c r="O624" t="s">
        <v>23</v>
      </c>
    </row>
    <row r="625" spans="1:15" x14ac:dyDescent="0.3">
      <c r="A625" s="2" t="s">
        <v>24</v>
      </c>
      <c r="B625" s="2">
        <v>45660</v>
      </c>
      <c r="C625" t="s">
        <v>25</v>
      </c>
      <c r="D625" t="s">
        <v>26</v>
      </c>
      <c r="E625" t="s">
        <v>27</v>
      </c>
      <c r="F625" t="s">
        <v>27</v>
      </c>
      <c r="G625" s="6">
        <v>2</v>
      </c>
      <c r="H625" s="3">
        <v>2296</v>
      </c>
      <c r="I625" s="5">
        <v>0.18</v>
      </c>
      <c r="J625" s="4">
        <v>371.94</v>
      </c>
      <c r="K625" t="s">
        <v>28</v>
      </c>
      <c r="L625" t="s">
        <v>29</v>
      </c>
      <c r="M625" t="s">
        <v>30</v>
      </c>
      <c r="N625" t="s">
        <v>31</v>
      </c>
      <c r="O625" t="s">
        <v>23</v>
      </c>
    </row>
    <row r="626" spans="1:15" x14ac:dyDescent="0.3">
      <c r="A626" s="2" t="s">
        <v>940</v>
      </c>
      <c r="B626" s="2">
        <v>45888</v>
      </c>
      <c r="C626" t="s">
        <v>16</v>
      </c>
      <c r="D626" t="s">
        <v>26</v>
      </c>
      <c r="E626" t="s">
        <v>188</v>
      </c>
      <c r="F626" t="s">
        <v>188</v>
      </c>
      <c r="G626" s="6">
        <v>1</v>
      </c>
      <c r="H626" s="3">
        <v>2400</v>
      </c>
      <c r="I626" s="5">
        <v>0.2</v>
      </c>
      <c r="J626" s="4">
        <v>336.04</v>
      </c>
      <c r="K626" t="s">
        <v>52</v>
      </c>
      <c r="L626" t="s">
        <v>97</v>
      </c>
      <c r="M626" t="s">
        <v>163</v>
      </c>
      <c r="N626" t="s">
        <v>31</v>
      </c>
      <c r="O626" t="s">
        <v>44</v>
      </c>
    </row>
    <row r="627" spans="1:15" x14ac:dyDescent="0.3">
      <c r="A627" s="2" t="s">
        <v>1052</v>
      </c>
      <c r="B627" s="2">
        <v>45934</v>
      </c>
      <c r="C627" t="s">
        <v>92</v>
      </c>
      <c r="D627" t="s">
        <v>26</v>
      </c>
      <c r="E627" t="s">
        <v>188</v>
      </c>
      <c r="F627" t="s">
        <v>188</v>
      </c>
      <c r="G627" s="6">
        <v>2</v>
      </c>
      <c r="H627" s="3">
        <v>5100</v>
      </c>
      <c r="I627" s="5">
        <v>0.15</v>
      </c>
      <c r="J627" s="4">
        <v>909.32</v>
      </c>
      <c r="K627" t="s">
        <v>19</v>
      </c>
      <c r="L627" t="s">
        <v>170</v>
      </c>
      <c r="M627" t="s">
        <v>171</v>
      </c>
      <c r="N627" t="s">
        <v>31</v>
      </c>
      <c r="O627" t="s">
        <v>44</v>
      </c>
    </row>
    <row r="628" spans="1:15" x14ac:dyDescent="0.3">
      <c r="A628" s="2" t="s">
        <v>1112</v>
      </c>
      <c r="B628" s="2">
        <v>45953</v>
      </c>
      <c r="C628" t="s">
        <v>155</v>
      </c>
      <c r="D628" t="s">
        <v>17</v>
      </c>
      <c r="E628" t="s">
        <v>158</v>
      </c>
      <c r="F628" t="s">
        <v>158</v>
      </c>
      <c r="G628" s="6">
        <v>2</v>
      </c>
      <c r="H628" s="3">
        <v>37840</v>
      </c>
      <c r="I628" s="5">
        <v>0.14000000000000001</v>
      </c>
      <c r="J628" s="4">
        <v>4633.68</v>
      </c>
      <c r="K628" t="s">
        <v>49</v>
      </c>
      <c r="L628" t="s">
        <v>134</v>
      </c>
      <c r="M628" t="s">
        <v>135</v>
      </c>
      <c r="N628" t="s">
        <v>55</v>
      </c>
      <c r="O628" t="s">
        <v>44</v>
      </c>
    </row>
    <row r="629" spans="1:15" x14ac:dyDescent="0.3">
      <c r="A629" s="2" t="s">
        <v>991</v>
      </c>
      <c r="B629" s="2">
        <v>45906</v>
      </c>
      <c r="C629" t="s">
        <v>729</v>
      </c>
      <c r="D629" t="s">
        <v>17</v>
      </c>
      <c r="E629" t="s">
        <v>158</v>
      </c>
      <c r="F629" t="s">
        <v>158</v>
      </c>
      <c r="G629" s="6">
        <v>2</v>
      </c>
      <c r="H629" s="3">
        <v>36960</v>
      </c>
      <c r="I629" s="5">
        <v>0.16</v>
      </c>
      <c r="J629" s="4">
        <v>3582.3</v>
      </c>
      <c r="K629" t="s">
        <v>49</v>
      </c>
      <c r="L629" t="s">
        <v>70</v>
      </c>
      <c r="M629" t="s">
        <v>71</v>
      </c>
      <c r="N629" t="s">
        <v>55</v>
      </c>
      <c r="O629" t="s">
        <v>44</v>
      </c>
    </row>
    <row r="630" spans="1:15" x14ac:dyDescent="0.3">
      <c r="A630" s="2" t="s">
        <v>894</v>
      </c>
      <c r="B630" s="2">
        <v>45873</v>
      </c>
      <c r="C630" t="s">
        <v>244</v>
      </c>
      <c r="D630" t="s">
        <v>47</v>
      </c>
      <c r="E630" t="s">
        <v>224</v>
      </c>
      <c r="F630" t="s">
        <v>224</v>
      </c>
      <c r="G630" s="6">
        <v>2</v>
      </c>
      <c r="H630" s="3">
        <v>8600</v>
      </c>
      <c r="I630" s="5">
        <v>0.14000000000000001</v>
      </c>
      <c r="J630" s="4">
        <v>919.64</v>
      </c>
      <c r="K630" t="s">
        <v>75</v>
      </c>
      <c r="L630" t="s">
        <v>20</v>
      </c>
      <c r="M630" t="s">
        <v>21</v>
      </c>
      <c r="N630" t="s">
        <v>22</v>
      </c>
      <c r="O630" t="s">
        <v>44</v>
      </c>
    </row>
    <row r="631" spans="1:15" x14ac:dyDescent="0.3">
      <c r="A631" s="2" t="s">
        <v>1225</v>
      </c>
      <c r="B631" s="2">
        <v>45993</v>
      </c>
      <c r="C631" t="s">
        <v>51</v>
      </c>
      <c r="D631" t="s">
        <v>68</v>
      </c>
      <c r="E631" t="s">
        <v>120</v>
      </c>
      <c r="F631" t="s">
        <v>120</v>
      </c>
      <c r="G631" s="6">
        <v>1</v>
      </c>
      <c r="H631" s="3">
        <v>546</v>
      </c>
      <c r="I631" s="5">
        <v>0.22</v>
      </c>
      <c r="J631" s="4">
        <v>80.42</v>
      </c>
      <c r="K631" t="s">
        <v>28</v>
      </c>
      <c r="L631" t="s">
        <v>29</v>
      </c>
      <c r="M631" t="s">
        <v>30</v>
      </c>
      <c r="N631" t="s">
        <v>31</v>
      </c>
      <c r="O631" t="s">
        <v>23</v>
      </c>
    </row>
    <row r="632" spans="1:15" x14ac:dyDescent="0.3">
      <c r="A632" s="2" t="s">
        <v>737</v>
      </c>
      <c r="B632" s="2">
        <v>45819</v>
      </c>
      <c r="C632" t="s">
        <v>278</v>
      </c>
      <c r="D632" t="s">
        <v>47</v>
      </c>
      <c r="E632" t="s">
        <v>74</v>
      </c>
      <c r="F632" t="s">
        <v>74</v>
      </c>
      <c r="G632" s="6">
        <v>3</v>
      </c>
      <c r="H632" s="3">
        <v>48600</v>
      </c>
      <c r="I632" s="5">
        <v>0.1</v>
      </c>
      <c r="J632" s="4">
        <v>4805.93</v>
      </c>
      <c r="K632" t="s">
        <v>75</v>
      </c>
      <c r="L632" t="s">
        <v>20</v>
      </c>
      <c r="M632" t="s">
        <v>21</v>
      </c>
      <c r="N632" t="s">
        <v>22</v>
      </c>
      <c r="O632" t="s">
        <v>44</v>
      </c>
    </row>
    <row r="633" spans="1:15" x14ac:dyDescent="0.3">
      <c r="A633" s="2" t="s">
        <v>925</v>
      </c>
      <c r="B633" s="2">
        <v>45883</v>
      </c>
      <c r="C633" t="s">
        <v>483</v>
      </c>
      <c r="D633" t="s">
        <v>34</v>
      </c>
      <c r="E633" t="s">
        <v>227</v>
      </c>
      <c r="F633" t="s">
        <v>227</v>
      </c>
      <c r="G633" s="6">
        <v>4</v>
      </c>
      <c r="H633" s="3">
        <v>24440</v>
      </c>
      <c r="I633" s="5">
        <v>0.06</v>
      </c>
      <c r="J633" s="4">
        <v>3227.28</v>
      </c>
      <c r="K633" t="s">
        <v>49</v>
      </c>
      <c r="L633" t="s">
        <v>20</v>
      </c>
      <c r="M633" t="s">
        <v>21</v>
      </c>
      <c r="N633" t="s">
        <v>22</v>
      </c>
      <c r="O633" t="s">
        <v>23</v>
      </c>
    </row>
    <row r="634" spans="1:15" x14ac:dyDescent="0.3">
      <c r="A634" s="2" t="s">
        <v>744</v>
      </c>
      <c r="B634" s="2">
        <v>45823</v>
      </c>
      <c r="C634" t="s">
        <v>400</v>
      </c>
      <c r="D634" t="s">
        <v>47</v>
      </c>
      <c r="E634" t="s">
        <v>48</v>
      </c>
      <c r="F634" t="s">
        <v>48</v>
      </c>
      <c r="G634" s="6">
        <v>2</v>
      </c>
      <c r="H634" s="3">
        <v>45500</v>
      </c>
      <c r="I634" s="5">
        <v>0.09</v>
      </c>
      <c r="J634" s="4">
        <v>6851.08</v>
      </c>
      <c r="K634" t="s">
        <v>28</v>
      </c>
      <c r="L634" t="s">
        <v>134</v>
      </c>
      <c r="M634" t="s">
        <v>135</v>
      </c>
      <c r="N634" t="s">
        <v>55</v>
      </c>
      <c r="O634" t="s">
        <v>23</v>
      </c>
    </row>
    <row r="635" spans="1:15" x14ac:dyDescent="0.3">
      <c r="A635" s="2" t="s">
        <v>1095</v>
      </c>
      <c r="B635" s="2">
        <v>45946</v>
      </c>
      <c r="C635" t="s">
        <v>353</v>
      </c>
      <c r="D635" t="s">
        <v>26</v>
      </c>
      <c r="E635" t="s">
        <v>27</v>
      </c>
      <c r="F635" t="s">
        <v>27</v>
      </c>
      <c r="G635" s="6">
        <v>1</v>
      </c>
      <c r="H635" s="3">
        <v>1148</v>
      </c>
      <c r="I635" s="5">
        <v>0.18</v>
      </c>
      <c r="J635" s="4">
        <v>219.05</v>
      </c>
      <c r="K635" t="s">
        <v>19</v>
      </c>
      <c r="L635" t="s">
        <v>60</v>
      </c>
      <c r="M635" t="s">
        <v>61</v>
      </c>
      <c r="N635" t="s">
        <v>38</v>
      </c>
      <c r="O635" t="s">
        <v>23</v>
      </c>
    </row>
    <row r="636" spans="1:15" x14ac:dyDescent="0.3">
      <c r="A636" s="2" t="s">
        <v>1171</v>
      </c>
      <c r="B636" s="2">
        <v>45977</v>
      </c>
      <c r="C636" t="s">
        <v>301</v>
      </c>
      <c r="D636" t="s">
        <v>17</v>
      </c>
      <c r="E636" t="s">
        <v>110</v>
      </c>
      <c r="F636" t="s">
        <v>110</v>
      </c>
      <c r="G636" s="6">
        <v>5</v>
      </c>
      <c r="H636" s="3">
        <v>27625</v>
      </c>
      <c r="I636" s="5">
        <v>0.15</v>
      </c>
      <c r="J636" s="4">
        <v>3178.21</v>
      </c>
      <c r="K636" t="s">
        <v>49</v>
      </c>
      <c r="L636" t="s">
        <v>60</v>
      </c>
      <c r="M636" t="s">
        <v>61</v>
      </c>
      <c r="N636" t="s">
        <v>38</v>
      </c>
      <c r="O636" t="s">
        <v>23</v>
      </c>
    </row>
    <row r="637" spans="1:15" x14ac:dyDescent="0.3">
      <c r="A637" s="2" t="s">
        <v>1160</v>
      </c>
      <c r="B637" s="2">
        <v>45972</v>
      </c>
      <c r="C637" t="s">
        <v>450</v>
      </c>
      <c r="D637" t="s">
        <v>47</v>
      </c>
      <c r="E637" t="s">
        <v>224</v>
      </c>
      <c r="F637" t="s">
        <v>224</v>
      </c>
      <c r="G637" s="6">
        <v>3</v>
      </c>
      <c r="H637" s="3">
        <v>13650</v>
      </c>
      <c r="I637" s="5">
        <v>0.09</v>
      </c>
      <c r="J637" s="4">
        <v>1712.37</v>
      </c>
      <c r="K637" t="s">
        <v>28</v>
      </c>
      <c r="L637" t="s">
        <v>86</v>
      </c>
      <c r="M637" t="s">
        <v>87</v>
      </c>
      <c r="N637" t="s">
        <v>38</v>
      </c>
      <c r="O637" t="s">
        <v>44</v>
      </c>
    </row>
    <row r="638" spans="1:15" x14ac:dyDescent="0.3">
      <c r="A638" s="2" t="s">
        <v>606</v>
      </c>
      <c r="B638" s="2">
        <v>45785</v>
      </c>
      <c r="C638" t="s">
        <v>220</v>
      </c>
      <c r="D638" t="s">
        <v>47</v>
      </c>
      <c r="E638" t="s">
        <v>368</v>
      </c>
      <c r="F638" t="s">
        <v>368</v>
      </c>
      <c r="G638" s="6">
        <v>5</v>
      </c>
      <c r="H638" s="3">
        <v>7200</v>
      </c>
      <c r="I638" s="5">
        <v>0.2</v>
      </c>
      <c r="J638" s="4">
        <v>861.77</v>
      </c>
      <c r="K638" t="s">
        <v>75</v>
      </c>
      <c r="L638" t="s">
        <v>70</v>
      </c>
      <c r="M638" t="s">
        <v>71</v>
      </c>
      <c r="N638" t="s">
        <v>55</v>
      </c>
      <c r="O638" t="s">
        <v>44</v>
      </c>
    </row>
    <row r="639" spans="1:15" x14ac:dyDescent="0.3">
      <c r="A639" s="2" t="s">
        <v>596</v>
      </c>
      <c r="B639" s="2">
        <v>45782</v>
      </c>
      <c r="C639" t="s">
        <v>597</v>
      </c>
      <c r="D639" t="s">
        <v>47</v>
      </c>
      <c r="E639" t="s">
        <v>240</v>
      </c>
      <c r="F639" t="s">
        <v>240</v>
      </c>
      <c r="G639" s="6">
        <v>1</v>
      </c>
      <c r="H639" s="3">
        <v>2075</v>
      </c>
      <c r="I639" s="5">
        <v>0.17</v>
      </c>
      <c r="J639" s="4">
        <v>358.8</v>
      </c>
      <c r="K639" t="s">
        <v>52</v>
      </c>
      <c r="L639" t="s">
        <v>97</v>
      </c>
      <c r="M639" t="s">
        <v>98</v>
      </c>
      <c r="N639" t="s">
        <v>31</v>
      </c>
      <c r="O639" t="s">
        <v>23</v>
      </c>
    </row>
    <row r="640" spans="1:15" x14ac:dyDescent="0.3">
      <c r="A640" s="2" t="s">
        <v>184</v>
      </c>
      <c r="B640" s="2">
        <v>45678</v>
      </c>
      <c r="C640" t="s">
        <v>89</v>
      </c>
      <c r="D640" t="s">
        <v>95</v>
      </c>
      <c r="E640" t="s">
        <v>185</v>
      </c>
      <c r="F640" t="s">
        <v>185</v>
      </c>
      <c r="G640" s="6">
        <v>2</v>
      </c>
      <c r="H640" s="3">
        <v>1920</v>
      </c>
      <c r="I640" s="5">
        <v>0.2</v>
      </c>
      <c r="J640" s="4">
        <v>358.65</v>
      </c>
      <c r="K640" t="s">
        <v>49</v>
      </c>
      <c r="L640" t="s">
        <v>36</v>
      </c>
      <c r="M640" t="s">
        <v>128</v>
      </c>
      <c r="N640" t="s">
        <v>38</v>
      </c>
      <c r="O640" t="s">
        <v>44</v>
      </c>
    </row>
    <row r="641" spans="1:15" x14ac:dyDescent="0.3">
      <c r="A641" s="2" t="s">
        <v>1063</v>
      </c>
      <c r="B641" s="2">
        <v>45938</v>
      </c>
      <c r="C641" t="s">
        <v>269</v>
      </c>
      <c r="D641" t="s">
        <v>34</v>
      </c>
      <c r="E641" t="s">
        <v>35</v>
      </c>
      <c r="F641" t="s">
        <v>35</v>
      </c>
      <c r="G641" s="6">
        <v>1</v>
      </c>
      <c r="H641" s="3">
        <v>996</v>
      </c>
      <c r="I641" s="5">
        <v>0.17</v>
      </c>
      <c r="J641" s="4">
        <v>166.4</v>
      </c>
      <c r="K641" t="s">
        <v>28</v>
      </c>
      <c r="L641" t="s">
        <v>42</v>
      </c>
      <c r="M641" t="s">
        <v>43</v>
      </c>
      <c r="N641" t="s">
        <v>22</v>
      </c>
      <c r="O641" t="s">
        <v>23</v>
      </c>
    </row>
    <row r="642" spans="1:15" x14ac:dyDescent="0.3">
      <c r="A642" s="2" t="s">
        <v>1011</v>
      </c>
      <c r="B642" s="2">
        <v>45915</v>
      </c>
      <c r="C642" t="s">
        <v>821</v>
      </c>
      <c r="D642" t="s">
        <v>68</v>
      </c>
      <c r="E642" t="s">
        <v>237</v>
      </c>
      <c r="F642" t="s">
        <v>237</v>
      </c>
      <c r="G642" s="6">
        <v>2</v>
      </c>
      <c r="H642" s="3">
        <v>1422</v>
      </c>
      <c r="I642" s="5">
        <v>0.21</v>
      </c>
      <c r="J642" s="4">
        <v>277.61</v>
      </c>
      <c r="K642" t="s">
        <v>65</v>
      </c>
      <c r="L642" t="s">
        <v>42</v>
      </c>
      <c r="M642" t="s">
        <v>43</v>
      </c>
      <c r="N642" t="s">
        <v>22</v>
      </c>
      <c r="O642" t="s">
        <v>23</v>
      </c>
    </row>
    <row r="643" spans="1:15" x14ac:dyDescent="0.3">
      <c r="A643" s="2" t="s">
        <v>765</v>
      </c>
      <c r="B643" s="2">
        <v>45834</v>
      </c>
      <c r="C643" t="s">
        <v>766</v>
      </c>
      <c r="D643" t="s">
        <v>47</v>
      </c>
      <c r="E643" t="s">
        <v>74</v>
      </c>
      <c r="F643" t="s">
        <v>74</v>
      </c>
      <c r="G643" s="6">
        <v>5</v>
      </c>
      <c r="H643" s="3">
        <v>77400</v>
      </c>
      <c r="I643" s="5">
        <v>0.14000000000000001</v>
      </c>
      <c r="J643" s="4">
        <v>9540.52</v>
      </c>
      <c r="K643" t="s">
        <v>75</v>
      </c>
      <c r="L643" t="s">
        <v>20</v>
      </c>
      <c r="M643" t="s">
        <v>21</v>
      </c>
      <c r="N643" t="s">
        <v>22</v>
      </c>
      <c r="O643" t="s">
        <v>23</v>
      </c>
    </row>
    <row r="644" spans="1:15" x14ac:dyDescent="0.3">
      <c r="A644" s="2" t="s">
        <v>1001</v>
      </c>
      <c r="B644" s="2">
        <v>45911</v>
      </c>
      <c r="C644" t="s">
        <v>355</v>
      </c>
      <c r="D644" t="s">
        <v>34</v>
      </c>
      <c r="E644" t="s">
        <v>107</v>
      </c>
      <c r="F644" t="s">
        <v>107</v>
      </c>
      <c r="G644" s="6">
        <v>1</v>
      </c>
      <c r="H644" s="3">
        <v>3870</v>
      </c>
      <c r="I644" s="5">
        <v>0.14000000000000001</v>
      </c>
      <c r="J644" s="4">
        <v>538.98</v>
      </c>
      <c r="K644" t="s">
        <v>19</v>
      </c>
      <c r="L644" t="s">
        <v>36</v>
      </c>
      <c r="M644" t="s">
        <v>37</v>
      </c>
      <c r="N644" t="s">
        <v>38</v>
      </c>
      <c r="O644" t="s">
        <v>44</v>
      </c>
    </row>
    <row r="645" spans="1:15" x14ac:dyDescent="0.3">
      <c r="A645" s="2" t="s">
        <v>794</v>
      </c>
      <c r="B645" s="2">
        <v>45843</v>
      </c>
      <c r="C645" t="s">
        <v>795</v>
      </c>
      <c r="D645" t="s">
        <v>26</v>
      </c>
      <c r="E645" t="s">
        <v>133</v>
      </c>
      <c r="F645" t="s">
        <v>133</v>
      </c>
      <c r="G645" s="6">
        <v>3</v>
      </c>
      <c r="H645" s="3">
        <v>6636</v>
      </c>
      <c r="I645" s="5">
        <v>0.21</v>
      </c>
      <c r="J645" s="4">
        <v>866.22</v>
      </c>
      <c r="K645" t="s">
        <v>28</v>
      </c>
      <c r="L645" t="s">
        <v>60</v>
      </c>
      <c r="M645" t="s">
        <v>61</v>
      </c>
      <c r="N645" t="s">
        <v>38</v>
      </c>
      <c r="O645" t="s">
        <v>44</v>
      </c>
    </row>
    <row r="646" spans="1:15" x14ac:dyDescent="0.3">
      <c r="A646" s="2" t="s">
        <v>361</v>
      </c>
      <c r="B646" s="2">
        <v>45715</v>
      </c>
      <c r="C646" t="s">
        <v>137</v>
      </c>
      <c r="D646" t="s">
        <v>95</v>
      </c>
      <c r="E646" t="s">
        <v>185</v>
      </c>
      <c r="F646" t="s">
        <v>185</v>
      </c>
      <c r="G646" s="6">
        <v>1</v>
      </c>
      <c r="H646" s="3">
        <v>960</v>
      </c>
      <c r="I646" s="5">
        <v>0.2</v>
      </c>
      <c r="J646" s="4">
        <v>105.03</v>
      </c>
      <c r="K646" t="s">
        <v>19</v>
      </c>
      <c r="L646" t="s">
        <v>70</v>
      </c>
      <c r="M646" t="s">
        <v>71</v>
      </c>
      <c r="N646" t="s">
        <v>55</v>
      </c>
      <c r="O646" t="s">
        <v>23</v>
      </c>
    </row>
    <row r="647" spans="1:15" x14ac:dyDescent="0.3">
      <c r="A647" s="2" t="s">
        <v>457</v>
      </c>
      <c r="B647" s="2">
        <v>45737</v>
      </c>
      <c r="C647" t="s">
        <v>285</v>
      </c>
      <c r="D647" t="s">
        <v>68</v>
      </c>
      <c r="E647" t="s">
        <v>69</v>
      </c>
      <c r="F647" t="s">
        <v>69</v>
      </c>
      <c r="G647" s="6">
        <v>2</v>
      </c>
      <c r="H647" s="3">
        <v>770</v>
      </c>
      <c r="I647" s="5">
        <v>0.23</v>
      </c>
      <c r="J647" s="4">
        <v>130</v>
      </c>
      <c r="K647" t="s">
        <v>52</v>
      </c>
      <c r="L647" t="s">
        <v>29</v>
      </c>
      <c r="M647" t="s">
        <v>30</v>
      </c>
      <c r="N647" t="s">
        <v>31</v>
      </c>
      <c r="O647" t="s">
        <v>23</v>
      </c>
    </row>
    <row r="648" spans="1:15" x14ac:dyDescent="0.3">
      <c r="A648" s="2" t="s">
        <v>741</v>
      </c>
      <c r="B648" s="2">
        <v>45823</v>
      </c>
      <c r="C648" t="s">
        <v>304</v>
      </c>
      <c r="D648" t="s">
        <v>95</v>
      </c>
      <c r="E648" t="s">
        <v>185</v>
      </c>
      <c r="F648" t="s">
        <v>185</v>
      </c>
      <c r="G648" s="6">
        <v>2</v>
      </c>
      <c r="H648" s="3">
        <v>2064</v>
      </c>
      <c r="I648" s="5">
        <v>0.14000000000000001</v>
      </c>
      <c r="J648" s="4">
        <v>261.45</v>
      </c>
      <c r="K648" t="s">
        <v>75</v>
      </c>
      <c r="L648" t="s">
        <v>20</v>
      </c>
      <c r="M648" t="s">
        <v>21</v>
      </c>
      <c r="N648" t="s">
        <v>22</v>
      </c>
      <c r="O648" t="s">
        <v>23</v>
      </c>
    </row>
    <row r="649" spans="1:15" x14ac:dyDescent="0.3">
      <c r="A649" s="2" t="s">
        <v>904</v>
      </c>
      <c r="B649" s="2">
        <v>45877</v>
      </c>
      <c r="C649" t="s">
        <v>386</v>
      </c>
      <c r="D649" t="s">
        <v>47</v>
      </c>
      <c r="E649" t="s">
        <v>214</v>
      </c>
      <c r="F649" t="s">
        <v>214</v>
      </c>
      <c r="G649" s="6">
        <v>3</v>
      </c>
      <c r="H649" s="3">
        <v>2241</v>
      </c>
      <c r="I649" s="5">
        <v>0.17</v>
      </c>
      <c r="J649" s="4">
        <v>354.06</v>
      </c>
      <c r="K649" t="s">
        <v>65</v>
      </c>
      <c r="L649" t="s">
        <v>97</v>
      </c>
      <c r="M649" t="s">
        <v>163</v>
      </c>
      <c r="N649" t="s">
        <v>31</v>
      </c>
      <c r="O649" t="s">
        <v>44</v>
      </c>
    </row>
    <row r="650" spans="1:15" x14ac:dyDescent="0.3">
      <c r="A650" s="2" t="s">
        <v>202</v>
      </c>
      <c r="B650" s="2">
        <v>45682</v>
      </c>
      <c r="C650" t="s">
        <v>203</v>
      </c>
      <c r="D650" t="s">
        <v>17</v>
      </c>
      <c r="E650" t="s">
        <v>85</v>
      </c>
      <c r="F650" t="s">
        <v>85</v>
      </c>
      <c r="G650" s="6">
        <v>2</v>
      </c>
      <c r="H650" s="3">
        <v>12600</v>
      </c>
      <c r="I650" s="5">
        <v>0.16</v>
      </c>
      <c r="J650" s="4">
        <v>1699.83</v>
      </c>
      <c r="K650" t="s">
        <v>65</v>
      </c>
      <c r="L650" t="s">
        <v>97</v>
      </c>
      <c r="M650" t="s">
        <v>163</v>
      </c>
      <c r="N650" t="s">
        <v>31</v>
      </c>
      <c r="O650" t="s">
        <v>44</v>
      </c>
    </row>
    <row r="651" spans="1:15" x14ac:dyDescent="0.3">
      <c r="A651" s="2" t="s">
        <v>598</v>
      </c>
      <c r="B651" s="2">
        <v>45782</v>
      </c>
      <c r="C651" t="s">
        <v>251</v>
      </c>
      <c r="D651" t="s">
        <v>47</v>
      </c>
      <c r="E651" t="s">
        <v>82</v>
      </c>
      <c r="F651" t="s">
        <v>82</v>
      </c>
      <c r="G651" s="6">
        <v>2</v>
      </c>
      <c r="H651" s="3">
        <v>5880</v>
      </c>
      <c r="I651" s="5">
        <v>0.16</v>
      </c>
      <c r="J651" s="4">
        <v>849.54</v>
      </c>
      <c r="K651" t="s">
        <v>65</v>
      </c>
      <c r="L651" t="s">
        <v>36</v>
      </c>
      <c r="M651" t="s">
        <v>37</v>
      </c>
      <c r="N651" t="s">
        <v>38</v>
      </c>
      <c r="O651" t="s">
        <v>23</v>
      </c>
    </row>
    <row r="652" spans="1:15" x14ac:dyDescent="0.3">
      <c r="A652" s="2" t="s">
        <v>199</v>
      </c>
      <c r="B652" s="2">
        <v>45681</v>
      </c>
      <c r="C652" t="s">
        <v>127</v>
      </c>
      <c r="D652" t="s">
        <v>34</v>
      </c>
      <c r="E652" t="s">
        <v>35</v>
      </c>
      <c r="F652" t="s">
        <v>35</v>
      </c>
      <c r="G652" s="6">
        <v>1</v>
      </c>
      <c r="H652" s="3">
        <v>984</v>
      </c>
      <c r="I652" s="5">
        <v>0.18</v>
      </c>
      <c r="J652" s="4">
        <v>158.96</v>
      </c>
      <c r="K652" t="s">
        <v>28</v>
      </c>
      <c r="L652" t="s">
        <v>86</v>
      </c>
      <c r="M652" t="s">
        <v>87</v>
      </c>
      <c r="N652" t="s">
        <v>38</v>
      </c>
      <c r="O652" t="s">
        <v>44</v>
      </c>
    </row>
    <row r="653" spans="1:15" x14ac:dyDescent="0.3">
      <c r="A653" s="2" t="s">
        <v>306</v>
      </c>
      <c r="B653" s="2">
        <v>45703</v>
      </c>
      <c r="C653" t="s">
        <v>307</v>
      </c>
      <c r="D653" t="s">
        <v>17</v>
      </c>
      <c r="E653" t="s">
        <v>90</v>
      </c>
      <c r="F653" t="s">
        <v>90</v>
      </c>
      <c r="G653" s="6">
        <v>3</v>
      </c>
      <c r="H653" s="3">
        <v>12450</v>
      </c>
      <c r="I653" s="5">
        <v>0.17</v>
      </c>
      <c r="J653" s="4">
        <v>873.13</v>
      </c>
      <c r="K653" t="s">
        <v>52</v>
      </c>
      <c r="L653" t="s">
        <v>20</v>
      </c>
      <c r="M653" t="s">
        <v>21</v>
      </c>
      <c r="N653" t="s">
        <v>22</v>
      </c>
      <c r="O653" t="s">
        <v>23</v>
      </c>
    </row>
    <row r="654" spans="1:15" x14ac:dyDescent="0.3">
      <c r="A654" s="2" t="s">
        <v>221</v>
      </c>
      <c r="B654" s="2">
        <v>45685</v>
      </c>
      <c r="C654" t="s">
        <v>100</v>
      </c>
      <c r="D654" t="s">
        <v>68</v>
      </c>
      <c r="E654" t="s">
        <v>69</v>
      </c>
      <c r="F654" t="s">
        <v>69</v>
      </c>
      <c r="G654" s="6">
        <v>3</v>
      </c>
      <c r="H654" s="3">
        <v>1125</v>
      </c>
      <c r="I654" s="5">
        <v>0.25</v>
      </c>
      <c r="J654" s="4">
        <v>198.07</v>
      </c>
      <c r="K654" t="s">
        <v>52</v>
      </c>
      <c r="L654" t="s">
        <v>70</v>
      </c>
      <c r="M654" t="s">
        <v>71</v>
      </c>
      <c r="N654" t="s">
        <v>55</v>
      </c>
      <c r="O654" t="s">
        <v>23</v>
      </c>
    </row>
    <row r="655" spans="1:15" x14ac:dyDescent="0.3">
      <c r="A655" s="2" t="s">
        <v>1219</v>
      </c>
      <c r="B655" s="2">
        <v>45992</v>
      </c>
      <c r="C655" t="s">
        <v>89</v>
      </c>
      <c r="D655" t="s">
        <v>58</v>
      </c>
      <c r="E655" t="s">
        <v>59</v>
      </c>
      <c r="F655" t="s">
        <v>59</v>
      </c>
      <c r="G655" s="6">
        <v>1</v>
      </c>
      <c r="H655" s="3">
        <v>387</v>
      </c>
      <c r="I655" s="5">
        <v>0.14000000000000001</v>
      </c>
      <c r="J655" s="4">
        <v>66.84</v>
      </c>
      <c r="K655" t="s">
        <v>75</v>
      </c>
      <c r="L655" t="s">
        <v>134</v>
      </c>
      <c r="M655" t="s">
        <v>135</v>
      </c>
      <c r="N655" t="s">
        <v>55</v>
      </c>
      <c r="O655" t="s">
        <v>44</v>
      </c>
    </row>
    <row r="656" spans="1:15" x14ac:dyDescent="0.3">
      <c r="A656" s="2" t="s">
        <v>632</v>
      </c>
      <c r="B656" s="2">
        <v>45789</v>
      </c>
      <c r="C656" t="s">
        <v>25</v>
      </c>
      <c r="D656" t="s">
        <v>34</v>
      </c>
      <c r="E656" t="s">
        <v>35</v>
      </c>
      <c r="F656" t="s">
        <v>35</v>
      </c>
      <c r="G656" s="6">
        <v>1</v>
      </c>
      <c r="H656" s="3">
        <v>1020</v>
      </c>
      <c r="I656" s="5">
        <v>0.15</v>
      </c>
      <c r="J656" s="4">
        <v>188.31</v>
      </c>
      <c r="K656" t="s">
        <v>52</v>
      </c>
      <c r="L656" t="s">
        <v>20</v>
      </c>
      <c r="M656" t="s">
        <v>21</v>
      </c>
      <c r="N656" t="s">
        <v>22</v>
      </c>
      <c r="O656" t="s">
        <v>23</v>
      </c>
    </row>
    <row r="657" spans="1:15" x14ac:dyDescent="0.3">
      <c r="A657" s="2" t="s">
        <v>250</v>
      </c>
      <c r="B657" s="2">
        <v>45693</v>
      </c>
      <c r="C657" t="s">
        <v>251</v>
      </c>
      <c r="D657" t="s">
        <v>26</v>
      </c>
      <c r="E657" t="s">
        <v>133</v>
      </c>
      <c r="F657" t="s">
        <v>133</v>
      </c>
      <c r="G657" s="6">
        <v>5</v>
      </c>
      <c r="H657" s="3">
        <v>11620</v>
      </c>
      <c r="I657" s="5">
        <v>0.17</v>
      </c>
      <c r="J657" s="4">
        <v>1985.02</v>
      </c>
      <c r="K657" t="s">
        <v>19</v>
      </c>
      <c r="L657" t="s">
        <v>159</v>
      </c>
      <c r="M657" t="s">
        <v>160</v>
      </c>
      <c r="N657" t="s">
        <v>38</v>
      </c>
      <c r="O657" t="s">
        <v>44</v>
      </c>
    </row>
    <row r="658" spans="1:15" x14ac:dyDescent="0.3">
      <c r="A658" s="2" t="s">
        <v>1281</v>
      </c>
      <c r="B658" s="2">
        <v>46014</v>
      </c>
      <c r="C658" t="s">
        <v>572</v>
      </c>
      <c r="D658" t="s">
        <v>68</v>
      </c>
      <c r="E658" t="s">
        <v>69</v>
      </c>
      <c r="F658" t="s">
        <v>69</v>
      </c>
      <c r="G658" s="6">
        <v>2</v>
      </c>
      <c r="H658" s="3">
        <v>770</v>
      </c>
      <c r="I658" s="5">
        <v>0.23</v>
      </c>
      <c r="J658" s="4">
        <v>149.36000000000001</v>
      </c>
      <c r="K658" t="s">
        <v>75</v>
      </c>
      <c r="L658" t="s">
        <v>53</v>
      </c>
      <c r="M658" t="s">
        <v>54</v>
      </c>
      <c r="N658" t="s">
        <v>55</v>
      </c>
      <c r="O658" t="s">
        <v>44</v>
      </c>
    </row>
    <row r="659" spans="1:15" x14ac:dyDescent="0.3">
      <c r="A659" s="2" t="s">
        <v>393</v>
      </c>
      <c r="B659" s="2">
        <v>45723</v>
      </c>
      <c r="C659" t="s">
        <v>117</v>
      </c>
      <c r="D659" t="s">
        <v>26</v>
      </c>
      <c r="E659" t="s">
        <v>64</v>
      </c>
      <c r="F659" t="s">
        <v>64</v>
      </c>
      <c r="G659" s="6">
        <v>2</v>
      </c>
      <c r="H659" s="3">
        <v>1332</v>
      </c>
      <c r="I659" s="5">
        <v>0.26</v>
      </c>
      <c r="J659" s="4">
        <v>315.25</v>
      </c>
      <c r="K659" t="s">
        <v>28</v>
      </c>
      <c r="L659" t="s">
        <v>29</v>
      </c>
      <c r="M659" t="s">
        <v>30</v>
      </c>
      <c r="N659" t="s">
        <v>31</v>
      </c>
      <c r="O659" t="s">
        <v>23</v>
      </c>
    </row>
    <row r="660" spans="1:15" x14ac:dyDescent="0.3">
      <c r="A660" s="2" t="s">
        <v>423</v>
      </c>
      <c r="B660" s="2">
        <v>45730</v>
      </c>
      <c r="C660" t="s">
        <v>424</v>
      </c>
      <c r="D660" t="s">
        <v>95</v>
      </c>
      <c r="E660" t="s">
        <v>185</v>
      </c>
      <c r="F660" t="s">
        <v>185</v>
      </c>
      <c r="G660" s="6">
        <v>1</v>
      </c>
      <c r="H660" s="3">
        <v>960</v>
      </c>
      <c r="I660" s="5">
        <v>0.2</v>
      </c>
      <c r="J660" s="4">
        <v>132.52000000000001</v>
      </c>
      <c r="K660" t="s">
        <v>19</v>
      </c>
      <c r="L660" t="s">
        <v>78</v>
      </c>
      <c r="M660" t="s">
        <v>79</v>
      </c>
      <c r="N660" t="s">
        <v>22</v>
      </c>
      <c r="O660" t="s">
        <v>44</v>
      </c>
    </row>
    <row r="661" spans="1:15" x14ac:dyDescent="0.3">
      <c r="A661" s="2" t="s">
        <v>1284</v>
      </c>
      <c r="B661" s="2">
        <v>46016</v>
      </c>
      <c r="C661" t="s">
        <v>190</v>
      </c>
      <c r="D661" t="s">
        <v>34</v>
      </c>
      <c r="E661" t="s">
        <v>35</v>
      </c>
      <c r="F661" t="s">
        <v>35</v>
      </c>
      <c r="G661" s="6">
        <v>1</v>
      </c>
      <c r="H661" s="3">
        <v>972</v>
      </c>
      <c r="I661" s="5">
        <v>0.19</v>
      </c>
      <c r="J661" s="4">
        <v>157.87</v>
      </c>
      <c r="K661" t="s">
        <v>75</v>
      </c>
      <c r="L661" t="s">
        <v>149</v>
      </c>
      <c r="M661" t="s">
        <v>175</v>
      </c>
      <c r="N661" t="s">
        <v>38</v>
      </c>
      <c r="O661" t="s">
        <v>23</v>
      </c>
    </row>
    <row r="662" spans="1:15" x14ac:dyDescent="0.3">
      <c r="A662" s="2" t="s">
        <v>1033</v>
      </c>
      <c r="B662" s="2">
        <v>45927</v>
      </c>
      <c r="C662" t="s">
        <v>229</v>
      </c>
      <c r="D662" t="s">
        <v>17</v>
      </c>
      <c r="E662" t="s">
        <v>148</v>
      </c>
      <c r="F662" t="s">
        <v>148</v>
      </c>
      <c r="G662" s="6">
        <v>1</v>
      </c>
      <c r="H662" s="3">
        <v>23240</v>
      </c>
      <c r="I662" s="5">
        <v>0.17</v>
      </c>
      <c r="J662" s="4">
        <v>2418.06</v>
      </c>
      <c r="K662" t="s">
        <v>49</v>
      </c>
      <c r="L662" t="s">
        <v>97</v>
      </c>
      <c r="M662" t="s">
        <v>163</v>
      </c>
      <c r="N662" t="s">
        <v>31</v>
      </c>
      <c r="O662" t="s">
        <v>44</v>
      </c>
    </row>
    <row r="663" spans="1:15" x14ac:dyDescent="0.3">
      <c r="A663" s="2" t="s">
        <v>645</v>
      </c>
      <c r="B663" s="2">
        <v>45794</v>
      </c>
      <c r="C663" t="s">
        <v>261</v>
      </c>
      <c r="D663" t="s">
        <v>95</v>
      </c>
      <c r="E663" t="s">
        <v>96</v>
      </c>
      <c r="F663" t="s">
        <v>96</v>
      </c>
      <c r="G663" s="6">
        <v>2</v>
      </c>
      <c r="H663" s="3">
        <v>1440</v>
      </c>
      <c r="I663" s="5">
        <v>0.2</v>
      </c>
      <c r="J663" s="4">
        <v>250.64</v>
      </c>
      <c r="K663" t="s">
        <v>19</v>
      </c>
      <c r="L663" t="s">
        <v>53</v>
      </c>
      <c r="M663" t="s">
        <v>54</v>
      </c>
      <c r="N663" t="s">
        <v>55</v>
      </c>
      <c r="O663" t="s">
        <v>44</v>
      </c>
    </row>
    <row r="664" spans="1:15" x14ac:dyDescent="0.3">
      <c r="A664" s="2" t="s">
        <v>590</v>
      </c>
      <c r="B664" s="2">
        <v>45777</v>
      </c>
      <c r="C664" t="s">
        <v>147</v>
      </c>
      <c r="D664" t="s">
        <v>58</v>
      </c>
      <c r="E664" t="s">
        <v>138</v>
      </c>
      <c r="F664" t="s">
        <v>138</v>
      </c>
      <c r="G664" s="6">
        <v>2</v>
      </c>
      <c r="H664" s="3">
        <v>3916</v>
      </c>
      <c r="I664" s="5">
        <v>0.11</v>
      </c>
      <c r="J664" s="4">
        <v>661.82</v>
      </c>
      <c r="K664" t="s">
        <v>49</v>
      </c>
      <c r="L664" t="s">
        <v>42</v>
      </c>
      <c r="M664" t="s">
        <v>43</v>
      </c>
      <c r="N664" t="s">
        <v>22</v>
      </c>
      <c r="O664" t="s">
        <v>44</v>
      </c>
    </row>
    <row r="665" spans="1:15" x14ac:dyDescent="0.3">
      <c r="A665" s="2" t="s">
        <v>375</v>
      </c>
      <c r="B665" s="2">
        <v>45719</v>
      </c>
      <c r="C665" t="s">
        <v>327</v>
      </c>
      <c r="D665" t="s">
        <v>34</v>
      </c>
      <c r="E665" t="s">
        <v>302</v>
      </c>
      <c r="F665" t="s">
        <v>302</v>
      </c>
      <c r="G665" s="6">
        <v>5</v>
      </c>
      <c r="H665" s="3">
        <v>14175</v>
      </c>
      <c r="I665" s="5">
        <v>0.19</v>
      </c>
      <c r="J665" s="4">
        <v>1924.03</v>
      </c>
      <c r="K665" t="s">
        <v>28</v>
      </c>
      <c r="L665" t="s">
        <v>60</v>
      </c>
      <c r="M665" t="s">
        <v>61</v>
      </c>
      <c r="N665" t="s">
        <v>38</v>
      </c>
      <c r="O665" t="s">
        <v>23</v>
      </c>
    </row>
    <row r="666" spans="1:15" x14ac:dyDescent="0.3">
      <c r="A666" s="2" t="s">
        <v>497</v>
      </c>
      <c r="B666" s="2">
        <v>45749</v>
      </c>
      <c r="C666" t="s">
        <v>335</v>
      </c>
      <c r="D666" t="s">
        <v>68</v>
      </c>
      <c r="E666" t="s">
        <v>153</v>
      </c>
      <c r="F666" t="s">
        <v>153</v>
      </c>
      <c r="G666" s="6">
        <v>3</v>
      </c>
      <c r="H666" s="3">
        <v>2772</v>
      </c>
      <c r="I666" s="5">
        <v>0.23</v>
      </c>
      <c r="J666" s="4">
        <v>527.66</v>
      </c>
      <c r="K666" t="s">
        <v>28</v>
      </c>
      <c r="L666" t="s">
        <v>149</v>
      </c>
      <c r="M666" t="s">
        <v>175</v>
      </c>
      <c r="N666" t="s">
        <v>38</v>
      </c>
      <c r="O666" t="s">
        <v>44</v>
      </c>
    </row>
    <row r="667" spans="1:15" x14ac:dyDescent="0.3">
      <c r="A667" s="2" t="s">
        <v>605</v>
      </c>
      <c r="B667" s="2">
        <v>45783</v>
      </c>
      <c r="C667" t="s">
        <v>566</v>
      </c>
      <c r="D667" t="s">
        <v>47</v>
      </c>
      <c r="E667" t="s">
        <v>74</v>
      </c>
      <c r="F667" t="s">
        <v>74</v>
      </c>
      <c r="G667" s="6">
        <v>1</v>
      </c>
      <c r="H667" s="3">
        <v>15660</v>
      </c>
      <c r="I667" s="5">
        <v>0.13</v>
      </c>
      <c r="J667" s="4">
        <v>1493.79</v>
      </c>
      <c r="K667" t="s">
        <v>75</v>
      </c>
      <c r="L667" t="s">
        <v>208</v>
      </c>
      <c r="M667" t="s">
        <v>209</v>
      </c>
      <c r="N667" t="s">
        <v>31</v>
      </c>
      <c r="O667" t="s">
        <v>23</v>
      </c>
    </row>
    <row r="668" spans="1:15" x14ac:dyDescent="0.3">
      <c r="A668" s="2" t="s">
        <v>206</v>
      </c>
      <c r="B668" s="2">
        <v>45682</v>
      </c>
      <c r="C668" t="s">
        <v>207</v>
      </c>
      <c r="D668" t="s">
        <v>17</v>
      </c>
      <c r="E668" t="s">
        <v>158</v>
      </c>
      <c r="F668" t="s">
        <v>158</v>
      </c>
      <c r="G668" s="6">
        <v>3</v>
      </c>
      <c r="H668" s="3">
        <v>54780</v>
      </c>
      <c r="I668" s="5">
        <v>0.17</v>
      </c>
      <c r="J668" s="4">
        <v>5790.05</v>
      </c>
      <c r="K668" t="s">
        <v>65</v>
      </c>
      <c r="L668" t="s">
        <v>208</v>
      </c>
      <c r="M668" t="s">
        <v>209</v>
      </c>
      <c r="N668" t="s">
        <v>31</v>
      </c>
      <c r="O668" t="s">
        <v>23</v>
      </c>
    </row>
    <row r="669" spans="1:15" x14ac:dyDescent="0.3">
      <c r="A669" s="2" t="s">
        <v>1269</v>
      </c>
      <c r="B669" s="2">
        <v>46009</v>
      </c>
      <c r="C669" t="s">
        <v>201</v>
      </c>
      <c r="D669" t="s">
        <v>34</v>
      </c>
      <c r="E669" t="s">
        <v>302</v>
      </c>
      <c r="F669" t="s">
        <v>302</v>
      </c>
      <c r="G669" s="6">
        <v>2</v>
      </c>
      <c r="H669" s="3">
        <v>5460</v>
      </c>
      <c r="I669" s="5">
        <v>0.22</v>
      </c>
      <c r="J669" s="4">
        <v>756.1</v>
      </c>
      <c r="K669" t="s">
        <v>52</v>
      </c>
      <c r="L669" t="s">
        <v>97</v>
      </c>
      <c r="M669" t="s">
        <v>98</v>
      </c>
      <c r="N669" t="s">
        <v>31</v>
      </c>
      <c r="O669" t="s">
        <v>23</v>
      </c>
    </row>
    <row r="670" spans="1:15" x14ac:dyDescent="0.3">
      <c r="A670" s="2" t="s">
        <v>1004</v>
      </c>
      <c r="B670" s="2">
        <v>45912</v>
      </c>
      <c r="C670" t="s">
        <v>726</v>
      </c>
      <c r="D670" t="s">
        <v>47</v>
      </c>
      <c r="E670" t="s">
        <v>82</v>
      </c>
      <c r="F670" t="s">
        <v>82</v>
      </c>
      <c r="G670" s="6">
        <v>2</v>
      </c>
      <c r="H670" s="3">
        <v>6020</v>
      </c>
      <c r="I670" s="5">
        <v>0.14000000000000001</v>
      </c>
      <c r="J670" s="4">
        <v>723.91</v>
      </c>
      <c r="K670" t="s">
        <v>49</v>
      </c>
      <c r="L670" t="s">
        <v>60</v>
      </c>
      <c r="M670" t="s">
        <v>61</v>
      </c>
      <c r="N670" t="s">
        <v>38</v>
      </c>
      <c r="O670" t="s">
        <v>23</v>
      </c>
    </row>
    <row r="671" spans="1:15" x14ac:dyDescent="0.3">
      <c r="A671" s="2" t="s">
        <v>848</v>
      </c>
      <c r="B671" s="2">
        <v>45861</v>
      </c>
      <c r="C671" t="s">
        <v>724</v>
      </c>
      <c r="D671" t="s">
        <v>68</v>
      </c>
      <c r="E671" t="s">
        <v>69</v>
      </c>
      <c r="F671" t="s">
        <v>69</v>
      </c>
      <c r="G671" s="6">
        <v>1</v>
      </c>
      <c r="H671" s="3">
        <v>375</v>
      </c>
      <c r="I671" s="5">
        <v>0.25</v>
      </c>
      <c r="J671" s="4">
        <v>73.069999999999993</v>
      </c>
      <c r="K671" t="s">
        <v>28</v>
      </c>
      <c r="L671" t="s">
        <v>53</v>
      </c>
      <c r="M671" t="s">
        <v>54</v>
      </c>
      <c r="N671" t="s">
        <v>55</v>
      </c>
      <c r="O671" t="s">
        <v>23</v>
      </c>
    </row>
    <row r="672" spans="1:15" x14ac:dyDescent="0.3">
      <c r="A672" s="2" t="s">
        <v>308</v>
      </c>
      <c r="B672" s="2">
        <v>45703</v>
      </c>
      <c r="C672" t="s">
        <v>309</v>
      </c>
      <c r="D672" t="s">
        <v>26</v>
      </c>
      <c r="E672" t="s">
        <v>27</v>
      </c>
      <c r="F672" t="s">
        <v>27</v>
      </c>
      <c r="G672" s="6">
        <v>2</v>
      </c>
      <c r="H672" s="3">
        <v>2324</v>
      </c>
      <c r="I672" s="5">
        <v>0.17</v>
      </c>
      <c r="J672" s="4">
        <v>402.64</v>
      </c>
      <c r="K672" t="s">
        <v>75</v>
      </c>
      <c r="L672" t="s">
        <v>170</v>
      </c>
      <c r="M672" t="s">
        <v>171</v>
      </c>
      <c r="N672" t="s">
        <v>31</v>
      </c>
      <c r="O672" t="s">
        <v>44</v>
      </c>
    </row>
    <row r="673" spans="1:15" x14ac:dyDescent="0.3">
      <c r="A673" s="2" t="s">
        <v>577</v>
      </c>
      <c r="B673" s="2">
        <v>45772</v>
      </c>
      <c r="C673" t="s">
        <v>211</v>
      </c>
      <c r="D673" t="s">
        <v>34</v>
      </c>
      <c r="E673" t="s">
        <v>35</v>
      </c>
      <c r="F673" t="s">
        <v>35</v>
      </c>
      <c r="G673" s="6">
        <v>3</v>
      </c>
      <c r="H673" s="3">
        <v>2988</v>
      </c>
      <c r="I673" s="5">
        <v>0.17</v>
      </c>
      <c r="J673" s="4">
        <v>585.39</v>
      </c>
      <c r="K673" t="s">
        <v>49</v>
      </c>
      <c r="L673" t="s">
        <v>70</v>
      </c>
      <c r="M673" t="s">
        <v>71</v>
      </c>
      <c r="N673" t="s">
        <v>55</v>
      </c>
      <c r="O673" t="s">
        <v>44</v>
      </c>
    </row>
    <row r="674" spans="1:15" x14ac:dyDescent="0.3">
      <c r="A674" s="2" t="s">
        <v>216</v>
      </c>
      <c r="B674" s="2">
        <v>45684</v>
      </c>
      <c r="C674" t="s">
        <v>103</v>
      </c>
      <c r="D674" t="s">
        <v>34</v>
      </c>
      <c r="E674" t="s">
        <v>143</v>
      </c>
      <c r="F674" t="s">
        <v>143</v>
      </c>
      <c r="G674" s="6">
        <v>1</v>
      </c>
      <c r="H674" s="3">
        <v>640</v>
      </c>
      <c r="I674" s="5">
        <v>0.2</v>
      </c>
      <c r="J674" s="4">
        <v>113.51</v>
      </c>
      <c r="K674" t="s">
        <v>52</v>
      </c>
      <c r="L674" t="s">
        <v>208</v>
      </c>
      <c r="M674" t="s">
        <v>209</v>
      </c>
      <c r="N674" t="s">
        <v>31</v>
      </c>
      <c r="O674" t="s">
        <v>44</v>
      </c>
    </row>
    <row r="675" spans="1:15" x14ac:dyDescent="0.3">
      <c r="A675" s="2" t="s">
        <v>514</v>
      </c>
      <c r="B675" s="2">
        <v>45754</v>
      </c>
      <c r="C675" t="s">
        <v>301</v>
      </c>
      <c r="D675" t="s">
        <v>34</v>
      </c>
      <c r="E675" t="s">
        <v>227</v>
      </c>
      <c r="F675" t="s">
        <v>227</v>
      </c>
      <c r="G675" s="6">
        <v>3</v>
      </c>
      <c r="H675" s="3">
        <v>17940</v>
      </c>
      <c r="I675" s="5">
        <v>0.08</v>
      </c>
      <c r="J675" s="4">
        <v>1964.47</v>
      </c>
      <c r="K675" t="s">
        <v>28</v>
      </c>
      <c r="L675" t="s">
        <v>170</v>
      </c>
      <c r="M675" t="s">
        <v>171</v>
      </c>
      <c r="N675" t="s">
        <v>31</v>
      </c>
      <c r="O675" t="s">
        <v>23</v>
      </c>
    </row>
    <row r="676" spans="1:15" x14ac:dyDescent="0.3">
      <c r="A676" s="2" t="s">
        <v>1068</v>
      </c>
      <c r="B676" s="2">
        <v>45939</v>
      </c>
      <c r="C676" t="s">
        <v>603</v>
      </c>
      <c r="D676" t="s">
        <v>47</v>
      </c>
      <c r="E676" t="s">
        <v>224</v>
      </c>
      <c r="F676" t="s">
        <v>224</v>
      </c>
      <c r="G676" s="6">
        <v>2</v>
      </c>
      <c r="H676" s="3">
        <v>8900</v>
      </c>
      <c r="I676" s="5">
        <v>0.11</v>
      </c>
      <c r="J676" s="4">
        <v>1170.4100000000001</v>
      </c>
      <c r="K676" t="s">
        <v>75</v>
      </c>
      <c r="L676" t="s">
        <v>53</v>
      </c>
      <c r="M676" t="s">
        <v>54</v>
      </c>
      <c r="N676" t="s">
        <v>55</v>
      </c>
      <c r="O676" t="s">
        <v>23</v>
      </c>
    </row>
    <row r="677" spans="1:15" x14ac:dyDescent="0.3">
      <c r="A677" s="2" t="s">
        <v>709</v>
      </c>
      <c r="B677" s="2">
        <v>45811</v>
      </c>
      <c r="C677" t="s">
        <v>294</v>
      </c>
      <c r="D677" t="s">
        <v>47</v>
      </c>
      <c r="E677" t="s">
        <v>194</v>
      </c>
      <c r="F677" t="s">
        <v>194</v>
      </c>
      <c r="G677" s="6">
        <v>1</v>
      </c>
      <c r="H677" s="3">
        <v>47850</v>
      </c>
      <c r="I677" s="5">
        <v>0.13</v>
      </c>
      <c r="J677" s="4">
        <v>5895.86</v>
      </c>
      <c r="K677" t="s">
        <v>75</v>
      </c>
      <c r="L677" t="s">
        <v>78</v>
      </c>
      <c r="M677" t="s">
        <v>79</v>
      </c>
      <c r="N677" t="s">
        <v>22</v>
      </c>
      <c r="O677" t="s">
        <v>23</v>
      </c>
    </row>
    <row r="678" spans="1:15" x14ac:dyDescent="0.3">
      <c r="A678" s="2" t="s">
        <v>414</v>
      </c>
      <c r="B678" s="2">
        <v>45729</v>
      </c>
      <c r="C678" t="s">
        <v>415</v>
      </c>
      <c r="D678" t="s">
        <v>58</v>
      </c>
      <c r="E678" t="s">
        <v>77</v>
      </c>
      <c r="F678" t="s">
        <v>77</v>
      </c>
      <c r="G678" s="6">
        <v>5</v>
      </c>
      <c r="H678" s="3">
        <v>7380</v>
      </c>
      <c r="I678" s="5">
        <v>0.18</v>
      </c>
      <c r="J678" s="4">
        <v>1306.53</v>
      </c>
      <c r="K678" t="s">
        <v>75</v>
      </c>
      <c r="L678" t="s">
        <v>60</v>
      </c>
      <c r="M678" t="s">
        <v>61</v>
      </c>
      <c r="N678" t="s">
        <v>38</v>
      </c>
      <c r="O678" t="s">
        <v>23</v>
      </c>
    </row>
    <row r="679" spans="1:15" x14ac:dyDescent="0.3">
      <c r="A679" s="2" t="s">
        <v>323</v>
      </c>
      <c r="B679" s="2">
        <v>45708</v>
      </c>
      <c r="C679" t="s">
        <v>251</v>
      </c>
      <c r="D679" t="s">
        <v>26</v>
      </c>
      <c r="E679" t="s">
        <v>118</v>
      </c>
      <c r="F679" t="s">
        <v>118</v>
      </c>
      <c r="G679" s="6">
        <v>3</v>
      </c>
      <c r="H679" s="3">
        <v>4698</v>
      </c>
      <c r="I679" s="5">
        <v>0.13</v>
      </c>
      <c r="J679" s="4">
        <v>825.53</v>
      </c>
      <c r="K679" t="s">
        <v>65</v>
      </c>
      <c r="L679" t="s">
        <v>208</v>
      </c>
      <c r="M679" t="s">
        <v>209</v>
      </c>
      <c r="N679" t="s">
        <v>31</v>
      </c>
      <c r="O679" t="s">
        <v>23</v>
      </c>
    </row>
    <row r="680" spans="1:15" x14ac:dyDescent="0.3">
      <c r="A680" s="2" t="s">
        <v>320</v>
      </c>
      <c r="B680" s="2">
        <v>45708</v>
      </c>
      <c r="C680" t="s">
        <v>247</v>
      </c>
      <c r="D680" t="s">
        <v>68</v>
      </c>
      <c r="E680" t="s">
        <v>237</v>
      </c>
      <c r="F680" t="s">
        <v>237</v>
      </c>
      <c r="G680" s="6">
        <v>1</v>
      </c>
      <c r="H680" s="3">
        <v>747</v>
      </c>
      <c r="I680" s="5">
        <v>0.17</v>
      </c>
      <c r="J680" s="4">
        <v>135.12</v>
      </c>
      <c r="K680" t="s">
        <v>52</v>
      </c>
      <c r="L680" t="s">
        <v>60</v>
      </c>
      <c r="M680" t="s">
        <v>61</v>
      </c>
      <c r="N680" t="s">
        <v>38</v>
      </c>
      <c r="O680" t="s">
        <v>44</v>
      </c>
    </row>
    <row r="681" spans="1:15" x14ac:dyDescent="0.3">
      <c r="A681" s="2" t="s">
        <v>535</v>
      </c>
      <c r="B681" s="2">
        <v>45760</v>
      </c>
      <c r="C681" t="s">
        <v>432</v>
      </c>
      <c r="D681" t="s">
        <v>17</v>
      </c>
      <c r="E681" t="s">
        <v>85</v>
      </c>
      <c r="F681" t="s">
        <v>85</v>
      </c>
      <c r="G681" s="6">
        <v>2</v>
      </c>
      <c r="H681" s="3">
        <v>12450</v>
      </c>
      <c r="I681" s="5">
        <v>0.17</v>
      </c>
      <c r="J681" s="4">
        <v>1043.8499999999999</v>
      </c>
      <c r="K681" t="s">
        <v>49</v>
      </c>
      <c r="L681" t="s">
        <v>36</v>
      </c>
      <c r="M681" t="s">
        <v>128</v>
      </c>
      <c r="N681" t="s">
        <v>38</v>
      </c>
      <c r="O681" t="s">
        <v>23</v>
      </c>
    </row>
    <row r="682" spans="1:15" x14ac:dyDescent="0.3">
      <c r="A682" s="2" t="s">
        <v>618</v>
      </c>
      <c r="B682" s="2">
        <v>45787</v>
      </c>
      <c r="C682" t="s">
        <v>415</v>
      </c>
      <c r="D682" t="s">
        <v>68</v>
      </c>
      <c r="E682" t="s">
        <v>153</v>
      </c>
      <c r="F682" t="s">
        <v>153</v>
      </c>
      <c r="G682" s="6">
        <v>3</v>
      </c>
      <c r="H682" s="3">
        <v>2772</v>
      </c>
      <c r="I682" s="5">
        <v>0.23</v>
      </c>
      <c r="J682" s="4">
        <v>478.2</v>
      </c>
      <c r="K682" t="s">
        <v>28</v>
      </c>
      <c r="L682" t="s">
        <v>78</v>
      </c>
      <c r="M682" t="s">
        <v>79</v>
      </c>
      <c r="N682" t="s">
        <v>22</v>
      </c>
      <c r="O682" t="s">
        <v>44</v>
      </c>
    </row>
    <row r="683" spans="1:15" x14ac:dyDescent="0.3">
      <c r="A683" s="2" t="s">
        <v>668</v>
      </c>
      <c r="B683" s="2">
        <v>45800</v>
      </c>
      <c r="C683" t="s">
        <v>304</v>
      </c>
      <c r="D683" t="s">
        <v>95</v>
      </c>
      <c r="E683" t="s">
        <v>185</v>
      </c>
      <c r="F683" t="s">
        <v>185</v>
      </c>
      <c r="G683" s="6">
        <v>5</v>
      </c>
      <c r="H683" s="3">
        <v>4980</v>
      </c>
      <c r="I683" s="5">
        <v>0.17</v>
      </c>
      <c r="J683" s="4">
        <v>877.36</v>
      </c>
      <c r="K683" t="s">
        <v>49</v>
      </c>
      <c r="L683" t="s">
        <v>134</v>
      </c>
      <c r="M683" t="s">
        <v>135</v>
      </c>
      <c r="N683" t="s">
        <v>55</v>
      </c>
      <c r="O683" t="s">
        <v>23</v>
      </c>
    </row>
    <row r="684" spans="1:15" x14ac:dyDescent="0.3">
      <c r="A684" s="2" t="s">
        <v>232</v>
      </c>
      <c r="B684" s="2">
        <v>45688</v>
      </c>
      <c r="C684" t="s">
        <v>233</v>
      </c>
      <c r="D684" t="s">
        <v>58</v>
      </c>
      <c r="E684" t="s">
        <v>59</v>
      </c>
      <c r="F684" t="s">
        <v>59</v>
      </c>
      <c r="G684" s="6">
        <v>1</v>
      </c>
      <c r="H684" s="3">
        <v>342</v>
      </c>
      <c r="I684" s="5">
        <v>0.24</v>
      </c>
      <c r="J684" s="4">
        <v>68.319999999999993</v>
      </c>
      <c r="K684" t="s">
        <v>52</v>
      </c>
      <c r="L684" t="s">
        <v>121</v>
      </c>
      <c r="M684" t="s">
        <v>122</v>
      </c>
      <c r="N684" t="s">
        <v>55</v>
      </c>
      <c r="O684" t="s">
        <v>23</v>
      </c>
    </row>
    <row r="685" spans="1:15" x14ac:dyDescent="0.3">
      <c r="A685" s="2" t="s">
        <v>1253</v>
      </c>
      <c r="B685" s="2">
        <v>46003</v>
      </c>
      <c r="C685" t="s">
        <v>251</v>
      </c>
      <c r="D685" t="s">
        <v>34</v>
      </c>
      <c r="E685" t="s">
        <v>302</v>
      </c>
      <c r="F685" t="s">
        <v>302</v>
      </c>
      <c r="G685" s="6">
        <v>4</v>
      </c>
      <c r="H685" s="3">
        <v>12180</v>
      </c>
      <c r="I685" s="5">
        <v>0.13</v>
      </c>
      <c r="J685" s="4">
        <v>1926.07</v>
      </c>
      <c r="K685" t="s">
        <v>28</v>
      </c>
      <c r="L685" t="s">
        <v>36</v>
      </c>
      <c r="M685" t="s">
        <v>128</v>
      </c>
      <c r="N685" t="s">
        <v>38</v>
      </c>
      <c r="O685" t="s">
        <v>44</v>
      </c>
    </row>
    <row r="686" spans="1:15" x14ac:dyDescent="0.3">
      <c r="A686" s="2" t="s">
        <v>284</v>
      </c>
      <c r="B686" s="2">
        <v>45701</v>
      </c>
      <c r="C686" t="s">
        <v>285</v>
      </c>
      <c r="D686" t="s">
        <v>68</v>
      </c>
      <c r="E686" t="s">
        <v>69</v>
      </c>
      <c r="F686" t="s">
        <v>69</v>
      </c>
      <c r="G686" s="6">
        <v>1</v>
      </c>
      <c r="H686" s="3">
        <v>390</v>
      </c>
      <c r="I686" s="5">
        <v>0.22</v>
      </c>
      <c r="J686" s="4">
        <v>83.78</v>
      </c>
      <c r="K686" t="s">
        <v>52</v>
      </c>
      <c r="L686" t="s">
        <v>149</v>
      </c>
      <c r="M686" t="s">
        <v>175</v>
      </c>
      <c r="N686" t="s">
        <v>38</v>
      </c>
      <c r="O686" t="s">
        <v>23</v>
      </c>
    </row>
    <row r="687" spans="1:15" x14ac:dyDescent="0.3">
      <c r="A687" s="2" t="s">
        <v>522</v>
      </c>
      <c r="B687" s="2">
        <v>45756</v>
      </c>
      <c r="C687" t="s">
        <v>523</v>
      </c>
      <c r="D687" t="s">
        <v>58</v>
      </c>
      <c r="E687" t="s">
        <v>178</v>
      </c>
      <c r="F687" t="s">
        <v>178</v>
      </c>
      <c r="G687" s="6">
        <v>1</v>
      </c>
      <c r="H687" s="3">
        <v>526.5</v>
      </c>
      <c r="I687" s="5">
        <v>0.19</v>
      </c>
      <c r="J687" s="4">
        <v>88.18</v>
      </c>
      <c r="K687" t="s">
        <v>19</v>
      </c>
      <c r="L687" t="s">
        <v>29</v>
      </c>
      <c r="M687" t="s">
        <v>30</v>
      </c>
      <c r="N687" t="s">
        <v>31</v>
      </c>
      <c r="O687" t="s">
        <v>23</v>
      </c>
    </row>
    <row r="688" spans="1:15" x14ac:dyDescent="0.3">
      <c r="A688" s="2" t="s">
        <v>620</v>
      </c>
      <c r="B688" s="2">
        <v>45787</v>
      </c>
      <c r="C688" t="s">
        <v>621</v>
      </c>
      <c r="D688" t="s">
        <v>58</v>
      </c>
      <c r="E688" t="s">
        <v>178</v>
      </c>
      <c r="F688" t="s">
        <v>178</v>
      </c>
      <c r="G688" s="6">
        <v>1</v>
      </c>
      <c r="H688" s="3">
        <v>533</v>
      </c>
      <c r="I688" s="5">
        <v>0.18</v>
      </c>
      <c r="J688" s="4">
        <v>83.22</v>
      </c>
      <c r="K688" t="s">
        <v>65</v>
      </c>
      <c r="L688" t="s">
        <v>149</v>
      </c>
      <c r="M688" t="s">
        <v>175</v>
      </c>
      <c r="N688" t="s">
        <v>38</v>
      </c>
      <c r="O688" t="s">
        <v>23</v>
      </c>
    </row>
    <row r="689" spans="1:15" x14ac:dyDescent="0.3">
      <c r="A689" s="2" t="s">
        <v>679</v>
      </c>
      <c r="B689" s="2">
        <v>45805</v>
      </c>
      <c r="C689" t="s">
        <v>680</v>
      </c>
      <c r="D689" t="s">
        <v>26</v>
      </c>
      <c r="E689" t="s">
        <v>133</v>
      </c>
      <c r="F689" t="s">
        <v>133</v>
      </c>
      <c r="G689" s="6">
        <v>1</v>
      </c>
      <c r="H689" s="3">
        <v>2324</v>
      </c>
      <c r="I689" s="5">
        <v>0.17</v>
      </c>
      <c r="J689" s="4">
        <v>433.59</v>
      </c>
      <c r="K689" t="s">
        <v>52</v>
      </c>
      <c r="L689" t="s">
        <v>208</v>
      </c>
      <c r="M689" t="s">
        <v>209</v>
      </c>
      <c r="N689" t="s">
        <v>31</v>
      </c>
      <c r="O689" t="s">
        <v>44</v>
      </c>
    </row>
    <row r="690" spans="1:15" x14ac:dyDescent="0.3">
      <c r="A690" s="2" t="s">
        <v>1139</v>
      </c>
      <c r="B690" s="2">
        <v>45964</v>
      </c>
      <c r="C690" t="s">
        <v>748</v>
      </c>
      <c r="D690" t="s">
        <v>47</v>
      </c>
      <c r="E690" t="s">
        <v>224</v>
      </c>
      <c r="F690" t="s">
        <v>224</v>
      </c>
      <c r="G690" s="6">
        <v>1</v>
      </c>
      <c r="H690" s="3">
        <v>4550</v>
      </c>
      <c r="I690" s="5">
        <v>0.09</v>
      </c>
      <c r="J690" s="4">
        <v>632.19000000000005</v>
      </c>
      <c r="K690" t="s">
        <v>49</v>
      </c>
      <c r="L690" t="s">
        <v>159</v>
      </c>
      <c r="M690" t="s">
        <v>160</v>
      </c>
      <c r="N690" t="s">
        <v>38</v>
      </c>
      <c r="O690" t="s">
        <v>23</v>
      </c>
    </row>
    <row r="691" spans="1:15" x14ac:dyDescent="0.3">
      <c r="A691" s="2" t="s">
        <v>1055</v>
      </c>
      <c r="B691" s="2">
        <v>45935</v>
      </c>
      <c r="C691" t="s">
        <v>25</v>
      </c>
      <c r="D691" t="s">
        <v>17</v>
      </c>
      <c r="E691" t="s">
        <v>158</v>
      </c>
      <c r="F691" t="s">
        <v>158</v>
      </c>
      <c r="G691" s="6">
        <v>4</v>
      </c>
      <c r="H691" s="3">
        <v>70400</v>
      </c>
      <c r="I691" s="5">
        <v>0.2</v>
      </c>
      <c r="J691" s="4">
        <v>8616.6200000000008</v>
      </c>
      <c r="K691" t="s">
        <v>28</v>
      </c>
      <c r="L691" t="s">
        <v>86</v>
      </c>
      <c r="M691" t="s">
        <v>87</v>
      </c>
      <c r="N691" t="s">
        <v>38</v>
      </c>
      <c r="O691" t="s">
        <v>44</v>
      </c>
    </row>
    <row r="692" spans="1:15" x14ac:dyDescent="0.3">
      <c r="A692" s="2" t="s">
        <v>877</v>
      </c>
      <c r="B692" s="2">
        <v>45869</v>
      </c>
      <c r="C692" t="s">
        <v>140</v>
      </c>
      <c r="D692" t="s">
        <v>34</v>
      </c>
      <c r="E692" t="s">
        <v>227</v>
      </c>
      <c r="F692" t="s">
        <v>227</v>
      </c>
      <c r="G692" s="6">
        <v>1</v>
      </c>
      <c r="H692" s="3">
        <v>5915</v>
      </c>
      <c r="I692" s="5">
        <v>0.09</v>
      </c>
      <c r="J692" s="4">
        <v>555.94000000000005</v>
      </c>
      <c r="K692" t="s">
        <v>52</v>
      </c>
      <c r="L692" t="s">
        <v>97</v>
      </c>
      <c r="M692" t="s">
        <v>163</v>
      </c>
      <c r="N692" t="s">
        <v>31</v>
      </c>
      <c r="O692" t="s">
        <v>23</v>
      </c>
    </row>
    <row r="693" spans="1:15" x14ac:dyDescent="0.3">
      <c r="A693" s="2" t="s">
        <v>774</v>
      </c>
      <c r="B693" s="2">
        <v>45835</v>
      </c>
      <c r="C693" t="s">
        <v>439</v>
      </c>
      <c r="D693" t="s">
        <v>17</v>
      </c>
      <c r="E693" t="s">
        <v>158</v>
      </c>
      <c r="F693" t="s">
        <v>158</v>
      </c>
      <c r="G693" s="6">
        <v>1</v>
      </c>
      <c r="H693" s="3">
        <v>18480</v>
      </c>
      <c r="I693" s="5">
        <v>0.16</v>
      </c>
      <c r="J693" s="4">
        <v>2165.96</v>
      </c>
      <c r="K693" t="s">
        <v>19</v>
      </c>
      <c r="L693" t="s">
        <v>149</v>
      </c>
      <c r="M693" t="s">
        <v>175</v>
      </c>
      <c r="N693" t="s">
        <v>38</v>
      </c>
      <c r="O693" t="s">
        <v>44</v>
      </c>
    </row>
    <row r="694" spans="1:15" x14ac:dyDescent="0.3">
      <c r="A694" s="2" t="s">
        <v>1131</v>
      </c>
      <c r="B694" s="2">
        <v>45962</v>
      </c>
      <c r="C694" t="s">
        <v>700</v>
      </c>
      <c r="D694" t="s">
        <v>34</v>
      </c>
      <c r="E694" t="s">
        <v>302</v>
      </c>
      <c r="F694" t="s">
        <v>302</v>
      </c>
      <c r="G694" s="6">
        <v>3</v>
      </c>
      <c r="H694" s="3">
        <v>9030</v>
      </c>
      <c r="I694" s="5">
        <v>0.14000000000000001</v>
      </c>
      <c r="J694" s="4">
        <v>1332.24</v>
      </c>
      <c r="K694" t="s">
        <v>49</v>
      </c>
      <c r="L694" t="s">
        <v>121</v>
      </c>
      <c r="M694" t="s">
        <v>122</v>
      </c>
      <c r="N694" t="s">
        <v>55</v>
      </c>
      <c r="O694" t="s">
        <v>23</v>
      </c>
    </row>
    <row r="695" spans="1:15" x14ac:dyDescent="0.3">
      <c r="A695" s="2" t="s">
        <v>971</v>
      </c>
      <c r="B695" s="2">
        <v>45902</v>
      </c>
      <c r="C695" t="s">
        <v>422</v>
      </c>
      <c r="D695" t="s">
        <v>17</v>
      </c>
      <c r="E695" t="s">
        <v>18</v>
      </c>
      <c r="F695" t="s">
        <v>18</v>
      </c>
      <c r="G695" s="6">
        <v>1</v>
      </c>
      <c r="H695" s="3">
        <v>26700</v>
      </c>
      <c r="I695" s="5">
        <v>0.11</v>
      </c>
      <c r="J695" s="4">
        <v>2131.38</v>
      </c>
      <c r="K695" t="s">
        <v>28</v>
      </c>
      <c r="L695" t="s">
        <v>78</v>
      </c>
      <c r="M695" t="s">
        <v>79</v>
      </c>
      <c r="N695" t="s">
        <v>22</v>
      </c>
      <c r="O695" t="s">
        <v>23</v>
      </c>
    </row>
    <row r="696" spans="1:15" x14ac:dyDescent="0.3">
      <c r="A696" s="2" t="s">
        <v>1285</v>
      </c>
      <c r="B696" s="2">
        <v>46016</v>
      </c>
      <c r="C696" t="s">
        <v>312</v>
      </c>
      <c r="D696" t="s">
        <v>17</v>
      </c>
      <c r="E696" t="s">
        <v>158</v>
      </c>
      <c r="F696" t="s">
        <v>158</v>
      </c>
      <c r="G696" s="6">
        <v>1</v>
      </c>
      <c r="H696" s="3">
        <v>17160</v>
      </c>
      <c r="I696" s="5">
        <v>0.22</v>
      </c>
      <c r="J696" s="4">
        <v>1873.11</v>
      </c>
      <c r="K696" t="s">
        <v>75</v>
      </c>
      <c r="L696" t="s">
        <v>29</v>
      </c>
      <c r="M696" t="s">
        <v>30</v>
      </c>
      <c r="N696" t="s">
        <v>31</v>
      </c>
      <c r="O696" t="s">
        <v>44</v>
      </c>
    </row>
    <row r="697" spans="1:15" x14ac:dyDescent="0.3">
      <c r="A697" s="2" t="s">
        <v>141</v>
      </c>
      <c r="B697" s="2">
        <v>45674</v>
      </c>
      <c r="C697" t="s">
        <v>142</v>
      </c>
      <c r="D697" t="s">
        <v>34</v>
      </c>
      <c r="E697" t="s">
        <v>143</v>
      </c>
      <c r="F697" t="s">
        <v>143</v>
      </c>
      <c r="G697" s="6">
        <v>2</v>
      </c>
      <c r="H697" s="3">
        <v>1280</v>
      </c>
      <c r="I697" s="5">
        <v>0.2</v>
      </c>
      <c r="J697" s="4">
        <v>276.95</v>
      </c>
      <c r="K697" t="s">
        <v>52</v>
      </c>
      <c r="L697" t="s">
        <v>86</v>
      </c>
      <c r="M697" t="s">
        <v>87</v>
      </c>
      <c r="N697" t="s">
        <v>38</v>
      </c>
      <c r="O697" t="s">
        <v>23</v>
      </c>
    </row>
    <row r="698" spans="1:15" x14ac:dyDescent="0.3">
      <c r="A698" s="2" t="s">
        <v>1248</v>
      </c>
      <c r="B698" s="2">
        <v>46001</v>
      </c>
      <c r="C698" t="s">
        <v>169</v>
      </c>
      <c r="D698" t="s">
        <v>26</v>
      </c>
      <c r="E698" t="s">
        <v>64</v>
      </c>
      <c r="F698" t="s">
        <v>64</v>
      </c>
      <c r="G698" s="6">
        <v>5</v>
      </c>
      <c r="H698" s="3">
        <v>3555</v>
      </c>
      <c r="I698" s="5">
        <v>0.21</v>
      </c>
      <c r="J698" s="4">
        <v>599.36</v>
      </c>
      <c r="K698" t="s">
        <v>49</v>
      </c>
      <c r="L698" t="s">
        <v>134</v>
      </c>
      <c r="M698" t="s">
        <v>135</v>
      </c>
      <c r="N698" t="s">
        <v>55</v>
      </c>
      <c r="O698" t="s">
        <v>23</v>
      </c>
    </row>
    <row r="699" spans="1:15" x14ac:dyDescent="0.3">
      <c r="A699" s="2" t="s">
        <v>119</v>
      </c>
      <c r="B699" s="2">
        <v>45669</v>
      </c>
      <c r="C699" t="s">
        <v>67</v>
      </c>
      <c r="D699" t="s">
        <v>68</v>
      </c>
      <c r="E699" t="s">
        <v>120</v>
      </c>
      <c r="F699" t="s">
        <v>120</v>
      </c>
      <c r="G699" s="6">
        <v>1</v>
      </c>
      <c r="H699" s="3">
        <v>574</v>
      </c>
      <c r="I699" s="5">
        <v>0.18</v>
      </c>
      <c r="J699" s="4">
        <v>126.36</v>
      </c>
      <c r="K699" t="s">
        <v>52</v>
      </c>
      <c r="L699" t="s">
        <v>121</v>
      </c>
      <c r="M699" t="s">
        <v>122</v>
      </c>
      <c r="N699" t="s">
        <v>55</v>
      </c>
      <c r="O699" t="s">
        <v>44</v>
      </c>
    </row>
    <row r="700" spans="1:15" x14ac:dyDescent="0.3">
      <c r="A700" s="2" t="s">
        <v>1073</v>
      </c>
      <c r="B700" s="2">
        <v>45940</v>
      </c>
      <c r="C700" t="s">
        <v>517</v>
      </c>
      <c r="D700" t="s">
        <v>34</v>
      </c>
      <c r="E700" t="s">
        <v>35</v>
      </c>
      <c r="F700" t="s">
        <v>35</v>
      </c>
      <c r="G700" s="6">
        <v>4</v>
      </c>
      <c r="H700" s="3">
        <v>3840</v>
      </c>
      <c r="I700" s="5">
        <v>0.2</v>
      </c>
      <c r="J700" s="4">
        <v>563.49</v>
      </c>
      <c r="K700" t="s">
        <v>49</v>
      </c>
      <c r="L700" t="s">
        <v>60</v>
      </c>
      <c r="M700" t="s">
        <v>61</v>
      </c>
      <c r="N700" t="s">
        <v>38</v>
      </c>
      <c r="O700" t="s">
        <v>23</v>
      </c>
    </row>
    <row r="701" spans="1:15" x14ac:dyDescent="0.3">
      <c r="A701" s="2" t="s">
        <v>340</v>
      </c>
      <c r="B701" s="2">
        <v>45712</v>
      </c>
      <c r="C701" t="s">
        <v>341</v>
      </c>
      <c r="D701" t="s">
        <v>47</v>
      </c>
      <c r="E701" t="s">
        <v>194</v>
      </c>
      <c r="F701" t="s">
        <v>194</v>
      </c>
      <c r="G701" s="6">
        <v>2</v>
      </c>
      <c r="H701" s="3">
        <v>96800</v>
      </c>
      <c r="I701" s="5">
        <v>0.12</v>
      </c>
      <c r="J701" s="4">
        <v>9670.44</v>
      </c>
      <c r="K701" t="s">
        <v>28</v>
      </c>
      <c r="L701" t="s">
        <v>70</v>
      </c>
      <c r="M701" t="s">
        <v>71</v>
      </c>
      <c r="N701" t="s">
        <v>55</v>
      </c>
      <c r="O701" t="s">
        <v>23</v>
      </c>
    </row>
    <row r="702" spans="1:15" x14ac:dyDescent="0.3">
      <c r="A702" s="2" t="s">
        <v>784</v>
      </c>
      <c r="B702" s="2">
        <v>45839</v>
      </c>
      <c r="C702" t="s">
        <v>489</v>
      </c>
      <c r="D702" t="s">
        <v>47</v>
      </c>
      <c r="E702" t="s">
        <v>368</v>
      </c>
      <c r="F702" t="s">
        <v>368</v>
      </c>
      <c r="G702" s="6">
        <v>5</v>
      </c>
      <c r="H702" s="3">
        <v>8010</v>
      </c>
      <c r="I702" s="5">
        <v>0.11</v>
      </c>
      <c r="J702" s="4">
        <v>981.46</v>
      </c>
      <c r="K702" t="s">
        <v>52</v>
      </c>
      <c r="L702" t="s">
        <v>97</v>
      </c>
      <c r="M702" t="s">
        <v>163</v>
      </c>
      <c r="N702" t="s">
        <v>31</v>
      </c>
      <c r="O702" t="s">
        <v>23</v>
      </c>
    </row>
    <row r="703" spans="1:15" x14ac:dyDescent="0.3">
      <c r="A703" s="2" t="s">
        <v>564</v>
      </c>
      <c r="B703" s="2">
        <v>45766</v>
      </c>
      <c r="C703" t="s">
        <v>67</v>
      </c>
      <c r="D703" t="s">
        <v>58</v>
      </c>
      <c r="E703" t="s">
        <v>178</v>
      </c>
      <c r="F703" t="s">
        <v>178</v>
      </c>
      <c r="G703" s="6">
        <v>4</v>
      </c>
      <c r="H703" s="3">
        <v>2132</v>
      </c>
      <c r="I703" s="5">
        <v>0.18</v>
      </c>
      <c r="J703" s="4">
        <v>360.28</v>
      </c>
      <c r="K703" t="s">
        <v>75</v>
      </c>
      <c r="L703" t="s">
        <v>78</v>
      </c>
      <c r="M703" t="s">
        <v>79</v>
      </c>
      <c r="N703" t="s">
        <v>22</v>
      </c>
      <c r="O703" t="s">
        <v>23</v>
      </c>
    </row>
    <row r="704" spans="1:15" x14ac:dyDescent="0.3">
      <c r="A704" s="2" t="s">
        <v>1172</v>
      </c>
      <c r="B704" s="2">
        <v>45977</v>
      </c>
      <c r="C704" t="s">
        <v>380</v>
      </c>
      <c r="D704" t="s">
        <v>47</v>
      </c>
      <c r="E704" t="s">
        <v>214</v>
      </c>
      <c r="F704" t="s">
        <v>214</v>
      </c>
      <c r="G704" s="6">
        <v>2</v>
      </c>
      <c r="H704" s="3">
        <v>1512</v>
      </c>
      <c r="I704" s="5">
        <v>0.16</v>
      </c>
      <c r="J704" s="4">
        <v>292.86</v>
      </c>
      <c r="K704" t="s">
        <v>49</v>
      </c>
      <c r="L704" t="s">
        <v>36</v>
      </c>
      <c r="M704" t="s">
        <v>101</v>
      </c>
      <c r="N704" t="s">
        <v>38</v>
      </c>
      <c r="O704" t="s">
        <v>44</v>
      </c>
    </row>
    <row r="705" spans="1:15" x14ac:dyDescent="0.3">
      <c r="A705" s="2" t="s">
        <v>527</v>
      </c>
      <c r="B705" s="2">
        <v>45757</v>
      </c>
      <c r="C705" t="s">
        <v>196</v>
      </c>
      <c r="D705" t="s">
        <v>95</v>
      </c>
      <c r="E705" t="s">
        <v>104</v>
      </c>
      <c r="F705" t="s">
        <v>104</v>
      </c>
      <c r="G705" s="6">
        <v>3</v>
      </c>
      <c r="H705" s="3">
        <v>8925</v>
      </c>
      <c r="I705" s="5">
        <v>0.15</v>
      </c>
      <c r="J705" s="4">
        <v>1127.3399999999999</v>
      </c>
      <c r="K705" t="s">
        <v>28</v>
      </c>
      <c r="L705" t="s">
        <v>97</v>
      </c>
      <c r="M705" t="s">
        <v>98</v>
      </c>
      <c r="N705" t="s">
        <v>31</v>
      </c>
      <c r="O705" t="s">
        <v>23</v>
      </c>
    </row>
    <row r="706" spans="1:15" x14ac:dyDescent="0.3">
      <c r="A706" s="2" t="s">
        <v>549</v>
      </c>
      <c r="B706" s="2">
        <v>45764</v>
      </c>
      <c r="C706" t="s">
        <v>201</v>
      </c>
      <c r="D706" t="s">
        <v>58</v>
      </c>
      <c r="E706" t="s">
        <v>59</v>
      </c>
      <c r="F706" t="s">
        <v>59</v>
      </c>
      <c r="G706" s="6">
        <v>1</v>
      </c>
      <c r="H706" s="3">
        <v>337.5</v>
      </c>
      <c r="I706" s="5">
        <v>0.25</v>
      </c>
      <c r="J706" s="4">
        <v>71.849999999999994</v>
      </c>
      <c r="K706" t="s">
        <v>19</v>
      </c>
      <c r="L706" t="s">
        <v>53</v>
      </c>
      <c r="M706" t="s">
        <v>54</v>
      </c>
      <c r="N706" t="s">
        <v>55</v>
      </c>
      <c r="O706" t="s">
        <v>44</v>
      </c>
    </row>
    <row r="707" spans="1:15" x14ac:dyDescent="0.3">
      <c r="A707" s="2" t="s">
        <v>823</v>
      </c>
      <c r="B707" s="2">
        <v>45851</v>
      </c>
      <c r="C707" t="s">
        <v>477</v>
      </c>
      <c r="D707" t="s">
        <v>47</v>
      </c>
      <c r="E707" t="s">
        <v>214</v>
      </c>
      <c r="F707" t="s">
        <v>214</v>
      </c>
      <c r="G707" s="6">
        <v>2</v>
      </c>
      <c r="H707" s="3">
        <v>1548</v>
      </c>
      <c r="I707" s="5">
        <v>0.14000000000000001</v>
      </c>
      <c r="J707" s="4">
        <v>240.74</v>
      </c>
      <c r="K707" t="s">
        <v>19</v>
      </c>
      <c r="L707" t="s">
        <v>78</v>
      </c>
      <c r="M707" t="s">
        <v>79</v>
      </c>
      <c r="N707" t="s">
        <v>22</v>
      </c>
      <c r="O707" t="s">
        <v>23</v>
      </c>
    </row>
    <row r="708" spans="1:15" x14ac:dyDescent="0.3">
      <c r="A708" s="2" t="s">
        <v>809</v>
      </c>
      <c r="B708" s="2">
        <v>45848</v>
      </c>
      <c r="C708" t="s">
        <v>378</v>
      </c>
      <c r="D708" t="s">
        <v>17</v>
      </c>
      <c r="E708" t="s">
        <v>148</v>
      </c>
      <c r="F708" t="s">
        <v>148</v>
      </c>
      <c r="G708" s="6">
        <v>1</v>
      </c>
      <c r="H708" s="3">
        <v>21560</v>
      </c>
      <c r="I708" s="5">
        <v>0.23</v>
      </c>
      <c r="J708" s="4">
        <v>2667.41</v>
      </c>
      <c r="K708" t="s">
        <v>19</v>
      </c>
      <c r="L708" t="s">
        <v>159</v>
      </c>
      <c r="M708" t="s">
        <v>160</v>
      </c>
      <c r="N708" t="s">
        <v>38</v>
      </c>
      <c r="O708" t="s">
        <v>23</v>
      </c>
    </row>
    <row r="709" spans="1:15" x14ac:dyDescent="0.3">
      <c r="A709" s="2" t="s">
        <v>693</v>
      </c>
      <c r="B709" s="2">
        <v>45808</v>
      </c>
      <c r="C709" t="s">
        <v>443</v>
      </c>
      <c r="D709" t="s">
        <v>17</v>
      </c>
      <c r="E709" t="s">
        <v>158</v>
      </c>
      <c r="F709" t="s">
        <v>158</v>
      </c>
      <c r="G709" s="6">
        <v>2</v>
      </c>
      <c r="H709" s="3">
        <v>36080</v>
      </c>
      <c r="I709" s="5">
        <v>0.18</v>
      </c>
      <c r="J709" s="4">
        <v>2449.23</v>
      </c>
      <c r="K709" t="s">
        <v>52</v>
      </c>
      <c r="L709" t="s">
        <v>208</v>
      </c>
      <c r="M709" t="s">
        <v>209</v>
      </c>
      <c r="N709" t="s">
        <v>31</v>
      </c>
      <c r="O709" t="s">
        <v>44</v>
      </c>
    </row>
    <row r="710" spans="1:15" x14ac:dyDescent="0.3">
      <c r="A710" s="2" t="s">
        <v>682</v>
      </c>
      <c r="B710" s="2">
        <v>45806</v>
      </c>
      <c r="C710" t="s">
        <v>474</v>
      </c>
      <c r="D710" t="s">
        <v>34</v>
      </c>
      <c r="E710" t="s">
        <v>302</v>
      </c>
      <c r="F710" t="s">
        <v>302</v>
      </c>
      <c r="G710" s="6">
        <v>1</v>
      </c>
      <c r="H710" s="3">
        <v>3150</v>
      </c>
      <c r="I710" s="5">
        <v>0.1</v>
      </c>
      <c r="J710" s="4">
        <v>447.33</v>
      </c>
      <c r="K710" t="s">
        <v>49</v>
      </c>
      <c r="L710" t="s">
        <v>134</v>
      </c>
      <c r="M710" t="s">
        <v>135</v>
      </c>
      <c r="N710" t="s">
        <v>55</v>
      </c>
      <c r="O710" t="s">
        <v>23</v>
      </c>
    </row>
    <row r="711" spans="1:15" x14ac:dyDescent="0.3">
      <c r="A711" s="2" t="s">
        <v>853</v>
      </c>
      <c r="B711" s="2">
        <v>45863</v>
      </c>
      <c r="C711" t="s">
        <v>398</v>
      </c>
      <c r="D711" t="s">
        <v>47</v>
      </c>
      <c r="E711" t="s">
        <v>74</v>
      </c>
      <c r="F711" t="s">
        <v>74</v>
      </c>
      <c r="G711" s="6">
        <v>2</v>
      </c>
      <c r="H711" s="3">
        <v>34560</v>
      </c>
      <c r="I711" s="5">
        <v>0.04</v>
      </c>
      <c r="J711" s="4">
        <v>4480.3500000000004</v>
      </c>
      <c r="K711" t="s">
        <v>28</v>
      </c>
      <c r="L711" t="s">
        <v>70</v>
      </c>
      <c r="M711" t="s">
        <v>71</v>
      </c>
      <c r="N711" t="s">
        <v>55</v>
      </c>
      <c r="O711" t="s">
        <v>44</v>
      </c>
    </row>
    <row r="712" spans="1:15" x14ac:dyDescent="0.3">
      <c r="A712" s="2" t="s">
        <v>1187</v>
      </c>
      <c r="B712" s="2">
        <v>45983</v>
      </c>
      <c r="C712" t="s">
        <v>269</v>
      </c>
      <c r="D712" t="s">
        <v>26</v>
      </c>
      <c r="E712" t="s">
        <v>188</v>
      </c>
      <c r="F712" t="s">
        <v>188</v>
      </c>
      <c r="G712" s="6">
        <v>2</v>
      </c>
      <c r="H712" s="3">
        <v>5040</v>
      </c>
      <c r="I712" s="5">
        <v>0.16</v>
      </c>
      <c r="J712" s="4">
        <v>776.87</v>
      </c>
      <c r="K712" t="s">
        <v>75</v>
      </c>
      <c r="L712" t="s">
        <v>60</v>
      </c>
      <c r="M712" t="s">
        <v>61</v>
      </c>
      <c r="N712" t="s">
        <v>38</v>
      </c>
      <c r="O712" t="s">
        <v>44</v>
      </c>
    </row>
    <row r="713" spans="1:15" x14ac:dyDescent="0.3">
      <c r="A713" s="2" t="s">
        <v>288</v>
      </c>
      <c r="B713" s="2">
        <v>45701</v>
      </c>
      <c r="C713" t="s">
        <v>289</v>
      </c>
      <c r="D713" t="s">
        <v>17</v>
      </c>
      <c r="E713" t="s">
        <v>148</v>
      </c>
      <c r="F713" t="s">
        <v>148</v>
      </c>
      <c r="G713" s="6">
        <v>4</v>
      </c>
      <c r="H713" s="3">
        <v>89600</v>
      </c>
      <c r="I713" s="5">
        <v>0.2</v>
      </c>
      <c r="J713" s="4">
        <v>10072.34</v>
      </c>
      <c r="K713" t="s">
        <v>28</v>
      </c>
      <c r="L713" t="s">
        <v>29</v>
      </c>
      <c r="M713" t="s">
        <v>30</v>
      </c>
      <c r="N713" t="s">
        <v>31</v>
      </c>
      <c r="O713" t="s">
        <v>23</v>
      </c>
    </row>
    <row r="714" spans="1:15" x14ac:dyDescent="0.3">
      <c r="A714" s="2" t="s">
        <v>952</v>
      </c>
      <c r="B714" s="2">
        <v>45891</v>
      </c>
      <c r="C714" t="s">
        <v>706</v>
      </c>
      <c r="D714" t="s">
        <v>68</v>
      </c>
      <c r="E714" t="s">
        <v>120</v>
      </c>
      <c r="F714" t="s">
        <v>120</v>
      </c>
      <c r="G714" s="6">
        <v>2</v>
      </c>
      <c r="H714" s="3">
        <v>1148</v>
      </c>
      <c r="I714" s="5">
        <v>0.18</v>
      </c>
      <c r="J714" s="4">
        <v>169.7</v>
      </c>
      <c r="K714" t="s">
        <v>75</v>
      </c>
      <c r="L714" t="s">
        <v>170</v>
      </c>
      <c r="M714" t="s">
        <v>171</v>
      </c>
      <c r="N714" t="s">
        <v>31</v>
      </c>
      <c r="O714" t="s">
        <v>23</v>
      </c>
    </row>
    <row r="715" spans="1:15" x14ac:dyDescent="0.3">
      <c r="A715" s="2" t="s">
        <v>528</v>
      </c>
      <c r="B715" s="2">
        <v>45757</v>
      </c>
      <c r="C715" t="s">
        <v>309</v>
      </c>
      <c r="D715" t="s">
        <v>47</v>
      </c>
      <c r="E715" t="s">
        <v>224</v>
      </c>
      <c r="F715" t="s">
        <v>224</v>
      </c>
      <c r="G715" s="6">
        <v>1</v>
      </c>
      <c r="H715" s="3">
        <v>4450</v>
      </c>
      <c r="I715" s="5">
        <v>0.11</v>
      </c>
      <c r="J715" s="4">
        <v>620.54</v>
      </c>
      <c r="K715" t="s">
        <v>75</v>
      </c>
      <c r="L715" t="s">
        <v>29</v>
      </c>
      <c r="M715" t="s">
        <v>30</v>
      </c>
      <c r="N715" t="s">
        <v>31</v>
      </c>
      <c r="O715" t="s">
        <v>44</v>
      </c>
    </row>
    <row r="716" spans="1:15" x14ac:dyDescent="0.3">
      <c r="A716" s="2" t="s">
        <v>76</v>
      </c>
      <c r="B716" s="2">
        <v>45664</v>
      </c>
      <c r="C716" t="s">
        <v>25</v>
      </c>
      <c r="D716" t="s">
        <v>58</v>
      </c>
      <c r="E716" t="s">
        <v>77</v>
      </c>
      <c r="F716" t="s">
        <v>77</v>
      </c>
      <c r="G716" s="6">
        <v>3</v>
      </c>
      <c r="H716" s="3">
        <v>4698</v>
      </c>
      <c r="I716" s="5">
        <v>0.13</v>
      </c>
      <c r="J716" s="4">
        <v>860.38</v>
      </c>
      <c r="K716" t="s">
        <v>28</v>
      </c>
      <c r="L716" t="s">
        <v>78</v>
      </c>
      <c r="M716" t="s">
        <v>79</v>
      </c>
      <c r="N716" t="s">
        <v>22</v>
      </c>
      <c r="O716" t="s">
        <v>23</v>
      </c>
    </row>
    <row r="717" spans="1:15" x14ac:dyDescent="0.3">
      <c r="A717" s="2" t="s">
        <v>1296</v>
      </c>
      <c r="B717" s="2">
        <v>46021</v>
      </c>
      <c r="C717" t="s">
        <v>556</v>
      </c>
      <c r="D717" t="s">
        <v>26</v>
      </c>
      <c r="E717" t="s">
        <v>133</v>
      </c>
      <c r="F717" t="s">
        <v>133</v>
      </c>
      <c r="G717" s="6">
        <v>3</v>
      </c>
      <c r="H717" s="3">
        <v>6804</v>
      </c>
      <c r="I717" s="5">
        <v>0.19</v>
      </c>
      <c r="J717" s="4">
        <v>1156.27</v>
      </c>
      <c r="K717" t="s">
        <v>75</v>
      </c>
      <c r="L717" t="s">
        <v>42</v>
      </c>
      <c r="M717" t="s">
        <v>43</v>
      </c>
      <c r="N717" t="s">
        <v>22</v>
      </c>
      <c r="O717" t="s">
        <v>23</v>
      </c>
    </row>
    <row r="718" spans="1:15" x14ac:dyDescent="0.3">
      <c r="A718" s="2" t="s">
        <v>960</v>
      </c>
      <c r="B718" s="2">
        <v>45897</v>
      </c>
      <c r="C718" t="s">
        <v>223</v>
      </c>
      <c r="D718" t="s">
        <v>17</v>
      </c>
      <c r="E718" t="s">
        <v>90</v>
      </c>
      <c r="F718" t="s">
        <v>90</v>
      </c>
      <c r="G718" s="6">
        <v>3</v>
      </c>
      <c r="H718" s="3">
        <v>11550</v>
      </c>
      <c r="I718" s="5">
        <v>0.23</v>
      </c>
      <c r="J718" s="4">
        <v>1358.64</v>
      </c>
      <c r="K718" t="s">
        <v>49</v>
      </c>
      <c r="L718" t="s">
        <v>121</v>
      </c>
      <c r="M718" t="s">
        <v>122</v>
      </c>
      <c r="N718" t="s">
        <v>55</v>
      </c>
      <c r="O718" t="s">
        <v>23</v>
      </c>
    </row>
    <row r="719" spans="1:15" x14ac:dyDescent="0.3">
      <c r="A719" s="2" t="s">
        <v>1062</v>
      </c>
      <c r="B719" s="2">
        <v>45938</v>
      </c>
      <c r="C719" t="s">
        <v>435</v>
      </c>
      <c r="D719" t="s">
        <v>17</v>
      </c>
      <c r="E719" t="s">
        <v>18</v>
      </c>
      <c r="F719" t="s">
        <v>18</v>
      </c>
      <c r="G719" s="6">
        <v>4</v>
      </c>
      <c r="H719" s="3">
        <v>103200</v>
      </c>
      <c r="I719" s="5">
        <v>0.14000000000000001</v>
      </c>
      <c r="J719" s="4">
        <v>8918.39</v>
      </c>
      <c r="K719" t="s">
        <v>49</v>
      </c>
      <c r="L719" t="s">
        <v>121</v>
      </c>
      <c r="M719" t="s">
        <v>122</v>
      </c>
      <c r="N719" t="s">
        <v>55</v>
      </c>
      <c r="O719" t="s">
        <v>23</v>
      </c>
    </row>
    <row r="720" spans="1:15" x14ac:dyDescent="0.3">
      <c r="A720" s="2" t="s">
        <v>676</v>
      </c>
      <c r="B720" s="2">
        <v>45804</v>
      </c>
      <c r="C720" t="s">
        <v>677</v>
      </c>
      <c r="D720" t="s">
        <v>58</v>
      </c>
      <c r="E720" t="s">
        <v>77</v>
      </c>
      <c r="F720" t="s">
        <v>77</v>
      </c>
      <c r="G720" s="6">
        <v>2</v>
      </c>
      <c r="H720" s="3">
        <v>3024</v>
      </c>
      <c r="I720" s="5">
        <v>0.16</v>
      </c>
      <c r="J720" s="4">
        <v>652.14</v>
      </c>
      <c r="K720" t="s">
        <v>28</v>
      </c>
      <c r="L720" t="s">
        <v>36</v>
      </c>
      <c r="M720" t="s">
        <v>101</v>
      </c>
      <c r="N720" t="s">
        <v>38</v>
      </c>
      <c r="O720" t="s">
        <v>44</v>
      </c>
    </row>
    <row r="721" spans="1:15" x14ac:dyDescent="0.3">
      <c r="A721" s="2" t="s">
        <v>847</v>
      </c>
      <c r="B721" s="2">
        <v>45861</v>
      </c>
      <c r="C721" t="s">
        <v>661</v>
      </c>
      <c r="D721" t="s">
        <v>47</v>
      </c>
      <c r="E721" t="s">
        <v>82</v>
      </c>
      <c r="F721" t="s">
        <v>82</v>
      </c>
      <c r="G721" s="6">
        <v>3</v>
      </c>
      <c r="H721" s="3">
        <v>8610</v>
      </c>
      <c r="I721" s="5">
        <v>0.18</v>
      </c>
      <c r="J721" s="4">
        <v>1301.1199999999999</v>
      </c>
      <c r="K721" t="s">
        <v>75</v>
      </c>
      <c r="L721" t="s">
        <v>36</v>
      </c>
      <c r="M721" t="s">
        <v>128</v>
      </c>
      <c r="N721" t="s">
        <v>38</v>
      </c>
      <c r="O721" t="s">
        <v>23</v>
      </c>
    </row>
    <row r="722" spans="1:15" x14ac:dyDescent="0.3">
      <c r="A722" s="2" t="s">
        <v>839</v>
      </c>
      <c r="B722" s="2">
        <v>45857</v>
      </c>
      <c r="C722" t="s">
        <v>229</v>
      </c>
      <c r="D722" t="s">
        <v>68</v>
      </c>
      <c r="E722" t="s">
        <v>153</v>
      </c>
      <c r="F722" t="s">
        <v>153</v>
      </c>
      <c r="G722" s="6">
        <v>2</v>
      </c>
      <c r="H722" s="3">
        <v>1872</v>
      </c>
      <c r="I722" s="5">
        <v>0.22</v>
      </c>
      <c r="J722" s="4">
        <v>336.8</v>
      </c>
      <c r="K722" t="s">
        <v>28</v>
      </c>
      <c r="L722" t="s">
        <v>42</v>
      </c>
      <c r="M722" t="s">
        <v>43</v>
      </c>
      <c r="N722" t="s">
        <v>22</v>
      </c>
      <c r="O722" t="s">
        <v>44</v>
      </c>
    </row>
    <row r="723" spans="1:15" x14ac:dyDescent="0.3">
      <c r="A723" s="2" t="s">
        <v>1096</v>
      </c>
      <c r="B723" s="2">
        <v>45946</v>
      </c>
      <c r="C723" t="s">
        <v>271</v>
      </c>
      <c r="D723" t="s">
        <v>95</v>
      </c>
      <c r="E723" t="s">
        <v>125</v>
      </c>
      <c r="F723" t="s">
        <v>125</v>
      </c>
      <c r="G723" s="6">
        <v>2</v>
      </c>
      <c r="H723" s="3">
        <v>3024</v>
      </c>
      <c r="I723" s="5">
        <v>0.16</v>
      </c>
      <c r="J723" s="4">
        <v>382.09</v>
      </c>
      <c r="K723" t="s">
        <v>75</v>
      </c>
      <c r="L723" t="s">
        <v>97</v>
      </c>
      <c r="M723" t="s">
        <v>163</v>
      </c>
      <c r="N723" t="s">
        <v>31</v>
      </c>
      <c r="O723" t="s">
        <v>44</v>
      </c>
    </row>
    <row r="724" spans="1:15" x14ac:dyDescent="0.3">
      <c r="A724" s="2" t="s">
        <v>838</v>
      </c>
      <c r="B724" s="2">
        <v>45856</v>
      </c>
      <c r="C724" t="s">
        <v>432</v>
      </c>
      <c r="D724" t="s">
        <v>34</v>
      </c>
      <c r="E724" t="s">
        <v>107</v>
      </c>
      <c r="F724" t="s">
        <v>107</v>
      </c>
      <c r="G724" s="6">
        <v>2</v>
      </c>
      <c r="H724" s="3">
        <v>7380</v>
      </c>
      <c r="I724" s="5">
        <v>0.18</v>
      </c>
      <c r="J724" s="4">
        <v>736.03</v>
      </c>
      <c r="K724" t="s">
        <v>75</v>
      </c>
      <c r="L724" t="s">
        <v>78</v>
      </c>
      <c r="M724" t="s">
        <v>79</v>
      </c>
      <c r="N724" t="s">
        <v>22</v>
      </c>
      <c r="O724" t="s">
        <v>44</v>
      </c>
    </row>
    <row r="725" spans="1:15" x14ac:dyDescent="0.3">
      <c r="A725" s="2" t="s">
        <v>1107</v>
      </c>
      <c r="B725" s="2">
        <v>45952</v>
      </c>
      <c r="C725" t="s">
        <v>67</v>
      </c>
      <c r="D725" t="s">
        <v>68</v>
      </c>
      <c r="E725" t="s">
        <v>120</v>
      </c>
      <c r="F725" t="s">
        <v>120</v>
      </c>
      <c r="G725" s="6">
        <v>1</v>
      </c>
      <c r="H725" s="3">
        <v>539</v>
      </c>
      <c r="I725" s="5">
        <v>0.23</v>
      </c>
      <c r="J725" s="4">
        <v>86.15</v>
      </c>
      <c r="K725" t="s">
        <v>49</v>
      </c>
      <c r="L725" t="s">
        <v>149</v>
      </c>
      <c r="M725" t="s">
        <v>175</v>
      </c>
      <c r="N725" t="s">
        <v>38</v>
      </c>
      <c r="O725" t="s">
        <v>23</v>
      </c>
    </row>
    <row r="726" spans="1:15" x14ac:dyDescent="0.3">
      <c r="A726" s="2" t="s">
        <v>1270</v>
      </c>
      <c r="B726" s="2">
        <v>46009</v>
      </c>
      <c r="C726" t="s">
        <v>275</v>
      </c>
      <c r="D726" t="s">
        <v>34</v>
      </c>
      <c r="E726" t="s">
        <v>107</v>
      </c>
      <c r="F726" t="s">
        <v>107</v>
      </c>
      <c r="G726" s="6">
        <v>1</v>
      </c>
      <c r="H726" s="3">
        <v>3870</v>
      </c>
      <c r="I726" s="5">
        <v>0.14000000000000001</v>
      </c>
      <c r="J726" s="4">
        <v>599.98</v>
      </c>
      <c r="K726" t="s">
        <v>28</v>
      </c>
      <c r="L726" t="s">
        <v>121</v>
      </c>
      <c r="M726" t="s">
        <v>122</v>
      </c>
      <c r="N726" t="s">
        <v>55</v>
      </c>
      <c r="O726" t="s">
        <v>44</v>
      </c>
    </row>
    <row r="727" spans="1:15" x14ac:dyDescent="0.3">
      <c r="A727" s="2" t="s">
        <v>849</v>
      </c>
      <c r="B727" s="2">
        <v>45862</v>
      </c>
      <c r="C727" t="s">
        <v>748</v>
      </c>
      <c r="D727" t="s">
        <v>26</v>
      </c>
      <c r="E727" t="s">
        <v>64</v>
      </c>
      <c r="F727" t="s">
        <v>64</v>
      </c>
      <c r="G727" s="6">
        <v>5</v>
      </c>
      <c r="H727" s="3">
        <v>3555</v>
      </c>
      <c r="I727" s="5">
        <v>0.21</v>
      </c>
      <c r="J727" s="4">
        <v>717.17</v>
      </c>
      <c r="K727" t="s">
        <v>52</v>
      </c>
      <c r="L727" t="s">
        <v>159</v>
      </c>
      <c r="M727" t="s">
        <v>160</v>
      </c>
      <c r="N727" t="s">
        <v>38</v>
      </c>
      <c r="O727" t="s">
        <v>23</v>
      </c>
    </row>
    <row r="728" spans="1:15" x14ac:dyDescent="0.3">
      <c r="A728" s="2" t="s">
        <v>1155</v>
      </c>
      <c r="B728" s="2">
        <v>45970</v>
      </c>
      <c r="C728" t="s">
        <v>271</v>
      </c>
      <c r="D728" t="s">
        <v>47</v>
      </c>
      <c r="E728" t="s">
        <v>214</v>
      </c>
      <c r="F728" t="s">
        <v>214</v>
      </c>
      <c r="G728" s="6">
        <v>5</v>
      </c>
      <c r="H728" s="3">
        <v>4005</v>
      </c>
      <c r="I728" s="5">
        <v>0.11</v>
      </c>
      <c r="J728" s="4">
        <v>713.2</v>
      </c>
      <c r="K728" t="s">
        <v>65</v>
      </c>
      <c r="L728" t="s">
        <v>97</v>
      </c>
      <c r="M728" t="s">
        <v>98</v>
      </c>
      <c r="N728" t="s">
        <v>31</v>
      </c>
      <c r="O728" t="s">
        <v>23</v>
      </c>
    </row>
    <row r="729" spans="1:15" x14ac:dyDescent="0.3">
      <c r="A729" s="2" t="s">
        <v>899</v>
      </c>
      <c r="B729" s="2">
        <v>45874</v>
      </c>
      <c r="C729" t="s">
        <v>441</v>
      </c>
      <c r="D729" t="s">
        <v>17</v>
      </c>
      <c r="E729" t="s">
        <v>90</v>
      </c>
      <c r="F729" t="s">
        <v>90</v>
      </c>
      <c r="G729" s="6">
        <v>2</v>
      </c>
      <c r="H729" s="3">
        <v>8500</v>
      </c>
      <c r="I729" s="5">
        <v>0.15</v>
      </c>
      <c r="J729" s="4">
        <v>595.47</v>
      </c>
      <c r="K729" t="s">
        <v>52</v>
      </c>
      <c r="L729" t="s">
        <v>78</v>
      </c>
      <c r="M729" t="s">
        <v>79</v>
      </c>
      <c r="N729" t="s">
        <v>22</v>
      </c>
      <c r="O729" t="s">
        <v>23</v>
      </c>
    </row>
    <row r="730" spans="1:15" x14ac:dyDescent="0.3">
      <c r="A730" s="2" t="s">
        <v>1099</v>
      </c>
      <c r="B730" s="2">
        <v>45948</v>
      </c>
      <c r="C730" t="s">
        <v>663</v>
      </c>
      <c r="D730" t="s">
        <v>17</v>
      </c>
      <c r="E730" t="s">
        <v>158</v>
      </c>
      <c r="F730" t="s">
        <v>158</v>
      </c>
      <c r="G730" s="6">
        <v>2</v>
      </c>
      <c r="H730" s="3">
        <v>34320</v>
      </c>
      <c r="I730" s="5">
        <v>0.22</v>
      </c>
      <c r="J730" s="4">
        <v>4193.71</v>
      </c>
      <c r="K730" t="s">
        <v>65</v>
      </c>
      <c r="L730" t="s">
        <v>149</v>
      </c>
      <c r="M730" t="s">
        <v>150</v>
      </c>
      <c r="N730" t="s">
        <v>38</v>
      </c>
      <c r="O730" t="s">
        <v>23</v>
      </c>
    </row>
    <row r="731" spans="1:15" x14ac:dyDescent="0.3">
      <c r="A731" s="2" t="s">
        <v>921</v>
      </c>
      <c r="B731" s="2">
        <v>45882</v>
      </c>
      <c r="C731" t="s">
        <v>617</v>
      </c>
      <c r="D731" t="s">
        <v>58</v>
      </c>
      <c r="E731" t="s">
        <v>138</v>
      </c>
      <c r="F731" t="s">
        <v>138</v>
      </c>
      <c r="G731" s="6">
        <v>3</v>
      </c>
      <c r="H731" s="3">
        <v>5742</v>
      </c>
      <c r="I731" s="5">
        <v>0.13</v>
      </c>
      <c r="J731" s="4">
        <v>921.86</v>
      </c>
      <c r="K731" t="s">
        <v>75</v>
      </c>
      <c r="L731" t="s">
        <v>29</v>
      </c>
      <c r="M731" t="s">
        <v>30</v>
      </c>
      <c r="N731" t="s">
        <v>31</v>
      </c>
      <c r="O731" t="s">
        <v>23</v>
      </c>
    </row>
    <row r="732" spans="1:15" x14ac:dyDescent="0.3">
      <c r="A732" s="2" t="s">
        <v>949</v>
      </c>
      <c r="B732" s="2">
        <v>45890</v>
      </c>
      <c r="C732" t="s">
        <v>935</v>
      </c>
      <c r="D732" t="s">
        <v>68</v>
      </c>
      <c r="E732" t="s">
        <v>237</v>
      </c>
      <c r="F732" t="s">
        <v>237</v>
      </c>
      <c r="G732" s="6">
        <v>3</v>
      </c>
      <c r="H732" s="3">
        <v>2106</v>
      </c>
      <c r="I732" s="5">
        <v>0.22</v>
      </c>
      <c r="J732" s="4">
        <v>358.11</v>
      </c>
      <c r="K732" t="s">
        <v>52</v>
      </c>
      <c r="L732" t="s">
        <v>42</v>
      </c>
      <c r="M732" t="s">
        <v>43</v>
      </c>
      <c r="N732" t="s">
        <v>22</v>
      </c>
      <c r="O732" t="s">
        <v>23</v>
      </c>
    </row>
    <row r="733" spans="1:15" x14ac:dyDescent="0.3">
      <c r="A733" s="2" t="s">
        <v>1076</v>
      </c>
      <c r="B733" s="2">
        <v>45941</v>
      </c>
      <c r="C733" t="s">
        <v>247</v>
      </c>
      <c r="D733" t="s">
        <v>58</v>
      </c>
      <c r="E733" t="s">
        <v>178</v>
      </c>
      <c r="F733" t="s">
        <v>178</v>
      </c>
      <c r="G733" s="6">
        <v>3</v>
      </c>
      <c r="H733" s="3">
        <v>1501.5</v>
      </c>
      <c r="I733" s="5">
        <v>0.23</v>
      </c>
      <c r="J733" s="4">
        <v>255.8</v>
      </c>
      <c r="K733" t="s">
        <v>28</v>
      </c>
      <c r="L733" t="s">
        <v>42</v>
      </c>
      <c r="M733" t="s">
        <v>43</v>
      </c>
      <c r="N733" t="s">
        <v>22</v>
      </c>
      <c r="O733" t="s">
        <v>44</v>
      </c>
    </row>
    <row r="734" spans="1:15" x14ac:dyDescent="0.3">
      <c r="A734" s="2" t="s">
        <v>1210</v>
      </c>
      <c r="B734" s="2">
        <v>45990</v>
      </c>
      <c r="C734" t="s">
        <v>935</v>
      </c>
      <c r="D734" t="s">
        <v>26</v>
      </c>
      <c r="E734" t="s">
        <v>64</v>
      </c>
      <c r="F734" t="s">
        <v>64</v>
      </c>
      <c r="G734" s="6">
        <v>2</v>
      </c>
      <c r="H734" s="3">
        <v>1350</v>
      </c>
      <c r="I734" s="5">
        <v>0.25</v>
      </c>
      <c r="J734" s="4">
        <v>350.81</v>
      </c>
      <c r="K734" t="s">
        <v>49</v>
      </c>
      <c r="L734" t="s">
        <v>159</v>
      </c>
      <c r="M734" t="s">
        <v>160</v>
      </c>
      <c r="N734" t="s">
        <v>38</v>
      </c>
      <c r="O734" t="s">
        <v>44</v>
      </c>
    </row>
    <row r="735" spans="1:15" x14ac:dyDescent="0.3">
      <c r="A735" s="2" t="s">
        <v>258</v>
      </c>
      <c r="B735" s="2">
        <v>45694</v>
      </c>
      <c r="C735" t="s">
        <v>259</v>
      </c>
      <c r="D735" t="s">
        <v>26</v>
      </c>
      <c r="E735" t="s">
        <v>27</v>
      </c>
      <c r="F735" t="s">
        <v>27</v>
      </c>
      <c r="G735" s="6">
        <v>3</v>
      </c>
      <c r="H735" s="3">
        <v>3150</v>
      </c>
      <c r="I735" s="5">
        <v>0.25</v>
      </c>
      <c r="J735" s="4">
        <v>557.52</v>
      </c>
      <c r="K735" t="s">
        <v>52</v>
      </c>
      <c r="L735" t="s">
        <v>78</v>
      </c>
      <c r="M735" t="s">
        <v>79</v>
      </c>
      <c r="N735" t="s">
        <v>22</v>
      </c>
      <c r="O735" t="s">
        <v>23</v>
      </c>
    </row>
    <row r="736" spans="1:15" x14ac:dyDescent="0.3">
      <c r="A736" s="2" t="s">
        <v>1290</v>
      </c>
      <c r="B736" s="2">
        <v>46019</v>
      </c>
      <c r="C736" t="s">
        <v>663</v>
      </c>
      <c r="D736" t="s">
        <v>58</v>
      </c>
      <c r="E736" t="s">
        <v>138</v>
      </c>
      <c r="F736" t="s">
        <v>138</v>
      </c>
      <c r="G736" s="6">
        <v>1</v>
      </c>
      <c r="H736" s="3">
        <v>1892</v>
      </c>
      <c r="I736" s="5">
        <v>0.14000000000000001</v>
      </c>
      <c r="J736" s="4">
        <v>337.75</v>
      </c>
      <c r="K736" t="s">
        <v>19</v>
      </c>
      <c r="L736" t="s">
        <v>60</v>
      </c>
      <c r="M736" t="s">
        <v>61</v>
      </c>
      <c r="N736" t="s">
        <v>38</v>
      </c>
      <c r="O736" t="s">
        <v>23</v>
      </c>
    </row>
    <row r="737" spans="1:15" x14ac:dyDescent="0.3">
      <c r="A737" s="2" t="s">
        <v>491</v>
      </c>
      <c r="B737" s="2">
        <v>45747</v>
      </c>
      <c r="C737" t="s">
        <v>492</v>
      </c>
      <c r="D737" t="s">
        <v>95</v>
      </c>
      <c r="E737" t="s">
        <v>185</v>
      </c>
      <c r="F737" t="s">
        <v>185</v>
      </c>
      <c r="G737" s="6">
        <v>3</v>
      </c>
      <c r="H737" s="3">
        <v>3096</v>
      </c>
      <c r="I737" s="5">
        <v>0.14000000000000001</v>
      </c>
      <c r="J737" s="4">
        <v>461.39</v>
      </c>
      <c r="K737" t="s">
        <v>65</v>
      </c>
      <c r="L737" t="s">
        <v>97</v>
      </c>
      <c r="M737" t="s">
        <v>163</v>
      </c>
      <c r="N737" t="s">
        <v>31</v>
      </c>
      <c r="O737" t="s">
        <v>44</v>
      </c>
    </row>
    <row r="738" spans="1:15" x14ac:dyDescent="0.3">
      <c r="A738" s="2" t="s">
        <v>920</v>
      </c>
      <c r="B738" s="2">
        <v>45881</v>
      </c>
      <c r="C738" t="s">
        <v>429</v>
      </c>
      <c r="D738" t="s">
        <v>47</v>
      </c>
      <c r="E738" t="s">
        <v>82</v>
      </c>
      <c r="F738" t="s">
        <v>82</v>
      </c>
      <c r="G738" s="6">
        <v>5</v>
      </c>
      <c r="H738" s="3">
        <v>14525</v>
      </c>
      <c r="I738" s="5">
        <v>0.17</v>
      </c>
      <c r="J738" s="4">
        <v>1103.56</v>
      </c>
      <c r="K738" t="s">
        <v>75</v>
      </c>
      <c r="L738" t="s">
        <v>149</v>
      </c>
      <c r="M738" t="s">
        <v>175</v>
      </c>
      <c r="N738" t="s">
        <v>38</v>
      </c>
      <c r="O738" t="s">
        <v>44</v>
      </c>
    </row>
    <row r="739" spans="1:15" x14ac:dyDescent="0.3">
      <c r="A739" s="2" t="s">
        <v>788</v>
      </c>
      <c r="B739" s="2">
        <v>45841</v>
      </c>
      <c r="C739" t="s">
        <v>680</v>
      </c>
      <c r="D739" t="s">
        <v>17</v>
      </c>
      <c r="E739" t="s">
        <v>148</v>
      </c>
      <c r="F739" t="s">
        <v>148</v>
      </c>
      <c r="G739" s="6">
        <v>2</v>
      </c>
      <c r="H739" s="3">
        <v>44240</v>
      </c>
      <c r="I739" s="5">
        <v>0.21</v>
      </c>
      <c r="J739" s="4">
        <v>6058.75</v>
      </c>
      <c r="K739" t="s">
        <v>52</v>
      </c>
      <c r="L739" t="s">
        <v>149</v>
      </c>
      <c r="M739" t="s">
        <v>175</v>
      </c>
      <c r="N739" t="s">
        <v>38</v>
      </c>
      <c r="O739" t="s">
        <v>23</v>
      </c>
    </row>
    <row r="740" spans="1:15" x14ac:dyDescent="0.3">
      <c r="A740" s="2" t="s">
        <v>303</v>
      </c>
      <c r="B740" s="2">
        <v>45703</v>
      </c>
      <c r="C740" t="s">
        <v>304</v>
      </c>
      <c r="D740" t="s">
        <v>26</v>
      </c>
      <c r="E740" t="s">
        <v>27</v>
      </c>
      <c r="F740" t="s">
        <v>27</v>
      </c>
      <c r="G740" s="6">
        <v>3</v>
      </c>
      <c r="H740" s="3">
        <v>3234</v>
      </c>
      <c r="I740" s="5">
        <v>0.23</v>
      </c>
      <c r="J740" s="4">
        <v>802.41</v>
      </c>
      <c r="K740" t="s">
        <v>19</v>
      </c>
      <c r="L740" t="s">
        <v>97</v>
      </c>
      <c r="M740" t="s">
        <v>98</v>
      </c>
      <c r="N740" t="s">
        <v>31</v>
      </c>
      <c r="O740" t="s">
        <v>44</v>
      </c>
    </row>
    <row r="741" spans="1:15" x14ac:dyDescent="0.3">
      <c r="A741" s="2" t="s">
        <v>966</v>
      </c>
      <c r="B741" s="2">
        <v>45899</v>
      </c>
      <c r="C741" t="s">
        <v>559</v>
      </c>
      <c r="D741" t="s">
        <v>47</v>
      </c>
      <c r="E741" t="s">
        <v>368</v>
      </c>
      <c r="F741" t="s">
        <v>368</v>
      </c>
      <c r="G741" s="6">
        <v>5</v>
      </c>
      <c r="H741" s="3">
        <v>8100</v>
      </c>
      <c r="I741" s="5">
        <v>0.1</v>
      </c>
      <c r="J741" s="4">
        <v>910.08</v>
      </c>
      <c r="K741" t="s">
        <v>19</v>
      </c>
      <c r="L741" t="s">
        <v>78</v>
      </c>
      <c r="M741" t="s">
        <v>79</v>
      </c>
      <c r="N741" t="s">
        <v>22</v>
      </c>
      <c r="O741" t="s">
        <v>44</v>
      </c>
    </row>
    <row r="742" spans="1:15" x14ac:dyDescent="0.3">
      <c r="A742" s="2" t="s">
        <v>875</v>
      </c>
      <c r="B742" s="2">
        <v>45869</v>
      </c>
      <c r="C742" t="s">
        <v>251</v>
      </c>
      <c r="D742" t="s">
        <v>68</v>
      </c>
      <c r="E742" t="s">
        <v>237</v>
      </c>
      <c r="F742" t="s">
        <v>237</v>
      </c>
      <c r="G742" s="6">
        <v>1</v>
      </c>
      <c r="H742" s="3">
        <v>693</v>
      </c>
      <c r="I742" s="5">
        <v>0.23</v>
      </c>
      <c r="J742" s="4">
        <v>105.31</v>
      </c>
      <c r="K742" t="s">
        <v>49</v>
      </c>
      <c r="L742" t="s">
        <v>134</v>
      </c>
      <c r="M742" t="s">
        <v>135</v>
      </c>
      <c r="N742" t="s">
        <v>55</v>
      </c>
      <c r="O742" t="s">
        <v>23</v>
      </c>
    </row>
    <row r="743" spans="1:15" x14ac:dyDescent="0.3">
      <c r="A743" s="2" t="s">
        <v>297</v>
      </c>
      <c r="B743" s="2">
        <v>45702</v>
      </c>
      <c r="C743" t="s">
        <v>207</v>
      </c>
      <c r="D743" t="s">
        <v>58</v>
      </c>
      <c r="E743" t="s">
        <v>178</v>
      </c>
      <c r="F743" t="s">
        <v>178</v>
      </c>
      <c r="G743" s="6">
        <v>1</v>
      </c>
      <c r="H743" s="3">
        <v>520</v>
      </c>
      <c r="I743" s="5">
        <v>0.2</v>
      </c>
      <c r="J743" s="4">
        <v>103.88</v>
      </c>
      <c r="K743" t="s">
        <v>49</v>
      </c>
      <c r="L743" t="s">
        <v>97</v>
      </c>
      <c r="M743" t="s">
        <v>163</v>
      </c>
      <c r="N743" t="s">
        <v>31</v>
      </c>
      <c r="O743" t="s">
        <v>44</v>
      </c>
    </row>
    <row r="744" spans="1:15" x14ac:dyDescent="0.3">
      <c r="A744" s="2" t="s">
        <v>1280</v>
      </c>
      <c r="B744" s="2">
        <v>46014</v>
      </c>
      <c r="C744" t="s">
        <v>729</v>
      </c>
      <c r="D744" t="s">
        <v>34</v>
      </c>
      <c r="E744" t="s">
        <v>41</v>
      </c>
      <c r="F744" t="s">
        <v>41</v>
      </c>
      <c r="G744" s="6">
        <v>3</v>
      </c>
      <c r="H744" s="3">
        <v>12150</v>
      </c>
      <c r="I744" s="5">
        <v>0.19</v>
      </c>
      <c r="J744" s="4">
        <v>1780.53</v>
      </c>
      <c r="K744" t="s">
        <v>49</v>
      </c>
      <c r="L744" t="s">
        <v>170</v>
      </c>
      <c r="M744" t="s">
        <v>171</v>
      </c>
      <c r="N744" t="s">
        <v>31</v>
      </c>
      <c r="O744" t="s">
        <v>44</v>
      </c>
    </row>
    <row r="745" spans="1:15" x14ac:dyDescent="0.3">
      <c r="A745" s="2" t="s">
        <v>1176</v>
      </c>
      <c r="B745" s="2">
        <v>45977</v>
      </c>
      <c r="C745" t="s">
        <v>625</v>
      </c>
      <c r="D745" t="s">
        <v>34</v>
      </c>
      <c r="E745" t="s">
        <v>143</v>
      </c>
      <c r="F745" t="s">
        <v>143</v>
      </c>
      <c r="G745" s="6">
        <v>2</v>
      </c>
      <c r="H745" s="3">
        <v>1296</v>
      </c>
      <c r="I745" s="5">
        <v>0.19</v>
      </c>
      <c r="J745" s="4">
        <v>215.51</v>
      </c>
      <c r="K745" t="s">
        <v>49</v>
      </c>
      <c r="L745" t="s">
        <v>86</v>
      </c>
      <c r="M745" t="s">
        <v>87</v>
      </c>
      <c r="N745" t="s">
        <v>38</v>
      </c>
      <c r="O745" t="s">
        <v>44</v>
      </c>
    </row>
    <row r="746" spans="1:15" x14ac:dyDescent="0.3">
      <c r="A746" s="2" t="s">
        <v>1190</v>
      </c>
      <c r="B746" s="2">
        <v>45984</v>
      </c>
      <c r="C746" t="s">
        <v>724</v>
      </c>
      <c r="D746" t="s">
        <v>47</v>
      </c>
      <c r="E746" t="s">
        <v>194</v>
      </c>
      <c r="F746" t="s">
        <v>194</v>
      </c>
      <c r="G746" s="6">
        <v>1</v>
      </c>
      <c r="H746" s="3">
        <v>50050</v>
      </c>
      <c r="I746" s="5">
        <v>0.09</v>
      </c>
      <c r="J746" s="4">
        <v>5918.87</v>
      </c>
      <c r="K746" t="s">
        <v>52</v>
      </c>
      <c r="L746" t="s">
        <v>97</v>
      </c>
      <c r="M746" t="s">
        <v>163</v>
      </c>
      <c r="N746" t="s">
        <v>31</v>
      </c>
      <c r="O746" t="s">
        <v>23</v>
      </c>
    </row>
    <row r="747" spans="1:15" x14ac:dyDescent="0.3">
      <c r="A747" s="2" t="s">
        <v>1058</v>
      </c>
      <c r="B747" s="2">
        <v>45937</v>
      </c>
      <c r="C747" t="s">
        <v>269</v>
      </c>
      <c r="D747" t="s">
        <v>17</v>
      </c>
      <c r="E747" t="s">
        <v>90</v>
      </c>
      <c r="F747" t="s">
        <v>90</v>
      </c>
      <c r="G747" s="6">
        <v>4</v>
      </c>
      <c r="H747" s="3">
        <v>16400</v>
      </c>
      <c r="I747" s="5">
        <v>0.18</v>
      </c>
      <c r="J747" s="4">
        <v>1844.11</v>
      </c>
      <c r="K747" t="s">
        <v>75</v>
      </c>
      <c r="L747" t="s">
        <v>159</v>
      </c>
      <c r="M747" t="s">
        <v>160</v>
      </c>
      <c r="N747" t="s">
        <v>38</v>
      </c>
      <c r="O747" t="s">
        <v>23</v>
      </c>
    </row>
    <row r="748" spans="1:15" x14ac:dyDescent="0.3">
      <c r="A748" s="2" t="s">
        <v>458</v>
      </c>
      <c r="B748" s="2">
        <v>45737</v>
      </c>
      <c r="C748" t="s">
        <v>459</v>
      </c>
      <c r="D748" t="s">
        <v>95</v>
      </c>
      <c r="E748" t="s">
        <v>96</v>
      </c>
      <c r="F748" t="s">
        <v>96</v>
      </c>
      <c r="G748" s="6">
        <v>1</v>
      </c>
      <c r="H748" s="3">
        <v>720</v>
      </c>
      <c r="I748" s="5">
        <v>0.2</v>
      </c>
      <c r="J748" s="4">
        <v>155.38999999999999</v>
      </c>
      <c r="K748" t="s">
        <v>75</v>
      </c>
      <c r="L748" t="s">
        <v>20</v>
      </c>
      <c r="M748" t="s">
        <v>21</v>
      </c>
      <c r="N748" t="s">
        <v>22</v>
      </c>
      <c r="O748" t="s">
        <v>44</v>
      </c>
    </row>
    <row r="749" spans="1:15" x14ac:dyDescent="0.3">
      <c r="A749" s="2" t="s">
        <v>1282</v>
      </c>
      <c r="B749" s="2">
        <v>46016</v>
      </c>
      <c r="C749" t="s">
        <v>526</v>
      </c>
      <c r="D749" t="s">
        <v>47</v>
      </c>
      <c r="E749" t="s">
        <v>240</v>
      </c>
      <c r="F749" t="s">
        <v>240</v>
      </c>
      <c r="G749" s="6">
        <v>1</v>
      </c>
      <c r="H749" s="3">
        <v>2125</v>
      </c>
      <c r="I749" s="5">
        <v>0.15</v>
      </c>
      <c r="J749" s="4">
        <v>309.8</v>
      </c>
      <c r="K749" t="s">
        <v>52</v>
      </c>
      <c r="L749" t="s">
        <v>149</v>
      </c>
      <c r="M749" t="s">
        <v>175</v>
      </c>
      <c r="N749" t="s">
        <v>38</v>
      </c>
      <c r="O749" t="s">
        <v>23</v>
      </c>
    </row>
    <row r="750" spans="1:15" x14ac:dyDescent="0.3">
      <c r="A750" s="2" t="s">
        <v>532</v>
      </c>
      <c r="B750" s="2">
        <v>45759</v>
      </c>
      <c r="C750" t="s">
        <v>533</v>
      </c>
      <c r="D750" t="s">
        <v>47</v>
      </c>
      <c r="E750" t="s">
        <v>214</v>
      </c>
      <c r="F750" t="s">
        <v>214</v>
      </c>
      <c r="G750" s="6">
        <v>2</v>
      </c>
      <c r="H750" s="3">
        <v>1476</v>
      </c>
      <c r="I750" s="5">
        <v>0.18</v>
      </c>
      <c r="J750" s="4">
        <v>225.96</v>
      </c>
      <c r="K750" t="s">
        <v>28</v>
      </c>
      <c r="L750" t="s">
        <v>60</v>
      </c>
      <c r="M750" t="s">
        <v>61</v>
      </c>
      <c r="N750" t="s">
        <v>38</v>
      </c>
      <c r="O750" t="s">
        <v>23</v>
      </c>
    </row>
    <row r="751" spans="1:15" x14ac:dyDescent="0.3">
      <c r="A751" s="2" t="s">
        <v>537</v>
      </c>
      <c r="B751" s="2">
        <v>45760</v>
      </c>
      <c r="C751" t="s">
        <v>253</v>
      </c>
      <c r="D751" t="s">
        <v>34</v>
      </c>
      <c r="E751" t="s">
        <v>143</v>
      </c>
      <c r="F751" t="s">
        <v>143</v>
      </c>
      <c r="G751" s="6">
        <v>2</v>
      </c>
      <c r="H751" s="3">
        <v>1328</v>
      </c>
      <c r="I751" s="5">
        <v>0.17</v>
      </c>
      <c r="J751" s="4">
        <v>239.02</v>
      </c>
      <c r="K751" t="s">
        <v>49</v>
      </c>
      <c r="L751" t="s">
        <v>36</v>
      </c>
      <c r="M751" t="s">
        <v>37</v>
      </c>
      <c r="N751" t="s">
        <v>38</v>
      </c>
      <c r="O751" t="s">
        <v>23</v>
      </c>
    </row>
    <row r="752" spans="1:15" x14ac:dyDescent="0.3">
      <c r="A752" s="2" t="s">
        <v>1154</v>
      </c>
      <c r="B752" s="2">
        <v>45970</v>
      </c>
      <c r="C752" t="s">
        <v>94</v>
      </c>
      <c r="D752" t="s">
        <v>68</v>
      </c>
      <c r="E752" t="s">
        <v>153</v>
      </c>
      <c r="F752" t="s">
        <v>153</v>
      </c>
      <c r="G752" s="6">
        <v>3</v>
      </c>
      <c r="H752" s="3">
        <v>3096</v>
      </c>
      <c r="I752" s="5">
        <v>0.14000000000000001</v>
      </c>
      <c r="J752" s="4">
        <v>647.16</v>
      </c>
      <c r="K752" t="s">
        <v>65</v>
      </c>
      <c r="L752" t="s">
        <v>97</v>
      </c>
      <c r="M752" t="s">
        <v>163</v>
      </c>
      <c r="N752" t="s">
        <v>31</v>
      </c>
      <c r="O752" t="s">
        <v>44</v>
      </c>
    </row>
    <row r="753" spans="1:15" x14ac:dyDescent="0.3">
      <c r="A753" s="2" t="s">
        <v>1213</v>
      </c>
      <c r="B753" s="2">
        <v>45990</v>
      </c>
      <c r="C753" t="s">
        <v>748</v>
      </c>
      <c r="D753" t="s">
        <v>68</v>
      </c>
      <c r="E753" t="s">
        <v>153</v>
      </c>
      <c r="F753" t="s">
        <v>153</v>
      </c>
      <c r="G753" s="6">
        <v>2</v>
      </c>
      <c r="H753" s="3">
        <v>2064</v>
      </c>
      <c r="I753" s="5">
        <v>0.14000000000000001</v>
      </c>
      <c r="J753" s="4">
        <v>346.98</v>
      </c>
      <c r="K753" t="s">
        <v>19</v>
      </c>
      <c r="L753" t="s">
        <v>208</v>
      </c>
      <c r="M753" t="s">
        <v>209</v>
      </c>
      <c r="N753" t="s">
        <v>31</v>
      </c>
      <c r="O753" t="s">
        <v>44</v>
      </c>
    </row>
    <row r="754" spans="1:15" x14ac:dyDescent="0.3">
      <c r="A754" s="2" t="s">
        <v>501</v>
      </c>
      <c r="B754" s="2">
        <v>45750</v>
      </c>
      <c r="C754" t="s">
        <v>196</v>
      </c>
      <c r="D754" t="s">
        <v>68</v>
      </c>
      <c r="E754" t="s">
        <v>69</v>
      </c>
      <c r="F754" t="s">
        <v>69</v>
      </c>
      <c r="G754" s="6">
        <v>2</v>
      </c>
      <c r="H754" s="3">
        <v>750</v>
      </c>
      <c r="I754" s="5">
        <v>0.25</v>
      </c>
      <c r="J754" s="4">
        <v>167.9</v>
      </c>
      <c r="K754" t="s">
        <v>19</v>
      </c>
      <c r="L754" t="s">
        <v>36</v>
      </c>
      <c r="M754" t="s">
        <v>37</v>
      </c>
      <c r="N754" t="s">
        <v>38</v>
      </c>
      <c r="O754" t="s">
        <v>23</v>
      </c>
    </row>
    <row r="755" spans="1:15" x14ac:dyDescent="0.3">
      <c r="A755" s="2" t="s">
        <v>62</v>
      </c>
      <c r="B755" s="2">
        <v>45663</v>
      </c>
      <c r="C755" t="s">
        <v>63</v>
      </c>
      <c r="D755" t="s">
        <v>26</v>
      </c>
      <c r="E755" t="s">
        <v>64</v>
      </c>
      <c r="F755" t="s">
        <v>64</v>
      </c>
      <c r="G755" s="6">
        <v>2</v>
      </c>
      <c r="H755" s="3">
        <v>1494</v>
      </c>
      <c r="I755" s="5">
        <v>0.17</v>
      </c>
      <c r="J755" s="4">
        <v>229.59</v>
      </c>
      <c r="K755" t="s">
        <v>65</v>
      </c>
      <c r="L755" t="s">
        <v>29</v>
      </c>
      <c r="M755" t="s">
        <v>30</v>
      </c>
      <c r="N755" t="s">
        <v>31</v>
      </c>
      <c r="O755" t="s">
        <v>44</v>
      </c>
    </row>
    <row r="756" spans="1:15" x14ac:dyDescent="0.3">
      <c r="A756" s="2" t="s">
        <v>930</v>
      </c>
      <c r="B756" s="2">
        <v>45885</v>
      </c>
      <c r="C756" t="s">
        <v>73</v>
      </c>
      <c r="D756" t="s">
        <v>34</v>
      </c>
      <c r="E756" t="s">
        <v>41</v>
      </c>
      <c r="F756" t="s">
        <v>41</v>
      </c>
      <c r="G756" s="6">
        <v>2</v>
      </c>
      <c r="H756" s="3">
        <v>8800</v>
      </c>
      <c r="I756" s="5">
        <v>0.12</v>
      </c>
      <c r="J756" s="4">
        <v>1105.0899999999999</v>
      </c>
      <c r="K756" t="s">
        <v>49</v>
      </c>
      <c r="L756" t="s">
        <v>170</v>
      </c>
      <c r="M756" t="s">
        <v>171</v>
      </c>
      <c r="N756" t="s">
        <v>31</v>
      </c>
      <c r="O756" t="s">
        <v>44</v>
      </c>
    </row>
    <row r="757" spans="1:15" x14ac:dyDescent="0.3">
      <c r="A757" s="2" t="s">
        <v>394</v>
      </c>
      <c r="B757" s="2">
        <v>45723</v>
      </c>
      <c r="C757" t="s">
        <v>386</v>
      </c>
      <c r="D757" t="s">
        <v>34</v>
      </c>
      <c r="E757" t="s">
        <v>107</v>
      </c>
      <c r="F757" t="s">
        <v>107</v>
      </c>
      <c r="G757" s="6">
        <v>2</v>
      </c>
      <c r="H757" s="3">
        <v>7650</v>
      </c>
      <c r="I757" s="5">
        <v>0.15</v>
      </c>
      <c r="J757" s="4">
        <v>875.59</v>
      </c>
      <c r="K757" t="s">
        <v>52</v>
      </c>
      <c r="L757" t="s">
        <v>78</v>
      </c>
      <c r="M757" t="s">
        <v>79</v>
      </c>
      <c r="N757" t="s">
        <v>22</v>
      </c>
      <c r="O757" t="s">
        <v>44</v>
      </c>
    </row>
    <row r="758" spans="1:15" x14ac:dyDescent="0.3">
      <c r="A758" s="2" t="s">
        <v>900</v>
      </c>
      <c r="B758" s="2">
        <v>45875</v>
      </c>
      <c r="C758" t="s">
        <v>481</v>
      </c>
      <c r="D758" t="s">
        <v>17</v>
      </c>
      <c r="E758" t="s">
        <v>158</v>
      </c>
      <c r="F758" t="s">
        <v>158</v>
      </c>
      <c r="G758" s="6">
        <v>4</v>
      </c>
      <c r="H758" s="3">
        <v>77440</v>
      </c>
      <c r="I758" s="5">
        <v>0.12</v>
      </c>
      <c r="J758" s="4">
        <v>7688.52</v>
      </c>
      <c r="K758" t="s">
        <v>49</v>
      </c>
      <c r="L758" t="s">
        <v>70</v>
      </c>
      <c r="M758" t="s">
        <v>71</v>
      </c>
      <c r="N758" t="s">
        <v>55</v>
      </c>
      <c r="O758" t="s">
        <v>44</v>
      </c>
    </row>
    <row r="759" spans="1:15" x14ac:dyDescent="0.3">
      <c r="A759" s="2" t="s">
        <v>1114</v>
      </c>
      <c r="B759" s="2">
        <v>45953</v>
      </c>
      <c r="C759" t="s">
        <v>152</v>
      </c>
      <c r="D759" t="s">
        <v>26</v>
      </c>
      <c r="E759" t="s">
        <v>64</v>
      </c>
      <c r="F759" t="s">
        <v>64</v>
      </c>
      <c r="G759" s="6">
        <v>4</v>
      </c>
      <c r="H759" s="3">
        <v>3132</v>
      </c>
      <c r="I759" s="5">
        <v>0.13</v>
      </c>
      <c r="J759" s="4">
        <v>787.87</v>
      </c>
      <c r="K759" t="s">
        <v>49</v>
      </c>
      <c r="L759" t="s">
        <v>97</v>
      </c>
      <c r="M759" t="s">
        <v>163</v>
      </c>
      <c r="N759" t="s">
        <v>31</v>
      </c>
      <c r="O759" t="s">
        <v>23</v>
      </c>
    </row>
    <row r="760" spans="1:15" x14ac:dyDescent="0.3">
      <c r="A760" s="2" t="s">
        <v>892</v>
      </c>
      <c r="B760" s="2">
        <v>45873</v>
      </c>
      <c r="C760" t="s">
        <v>556</v>
      </c>
      <c r="D760" t="s">
        <v>17</v>
      </c>
      <c r="E760" t="s">
        <v>148</v>
      </c>
      <c r="F760" t="s">
        <v>148</v>
      </c>
      <c r="G760" s="6">
        <v>3</v>
      </c>
      <c r="H760" s="3">
        <v>66360</v>
      </c>
      <c r="I760" s="5">
        <v>0.21</v>
      </c>
      <c r="J760" s="4">
        <v>7472.61</v>
      </c>
      <c r="K760" t="s">
        <v>28</v>
      </c>
      <c r="L760" t="s">
        <v>20</v>
      </c>
      <c r="M760" t="s">
        <v>21</v>
      </c>
      <c r="N760" t="s">
        <v>22</v>
      </c>
      <c r="O760" t="s">
        <v>44</v>
      </c>
    </row>
    <row r="761" spans="1:15" x14ac:dyDescent="0.3">
      <c r="A761" s="2" t="s">
        <v>186</v>
      </c>
      <c r="B761" s="2">
        <v>45679</v>
      </c>
      <c r="C761" t="s">
        <v>187</v>
      </c>
      <c r="D761" t="s">
        <v>26</v>
      </c>
      <c r="E761" t="s">
        <v>188</v>
      </c>
      <c r="F761" t="s">
        <v>188</v>
      </c>
      <c r="G761" s="6">
        <v>4</v>
      </c>
      <c r="H761" s="3">
        <v>9960</v>
      </c>
      <c r="I761" s="5">
        <v>0.17</v>
      </c>
      <c r="J761" s="4">
        <v>1013.57</v>
      </c>
      <c r="K761" t="s">
        <v>19</v>
      </c>
      <c r="L761" t="s">
        <v>159</v>
      </c>
      <c r="M761" t="s">
        <v>160</v>
      </c>
      <c r="N761" t="s">
        <v>38</v>
      </c>
      <c r="O761" t="s">
        <v>23</v>
      </c>
    </row>
    <row r="762" spans="1:15" x14ac:dyDescent="0.3">
      <c r="A762" s="2" t="s">
        <v>927</v>
      </c>
      <c r="B762" s="2">
        <v>45884</v>
      </c>
      <c r="C762" t="s">
        <v>398</v>
      </c>
      <c r="D762" t="s">
        <v>47</v>
      </c>
      <c r="E762" t="s">
        <v>194</v>
      </c>
      <c r="F762" t="s">
        <v>194</v>
      </c>
      <c r="G762" s="6">
        <v>2</v>
      </c>
      <c r="H762" s="3">
        <v>100100</v>
      </c>
      <c r="I762" s="5">
        <v>0.09</v>
      </c>
      <c r="J762" s="4">
        <v>11553.21</v>
      </c>
      <c r="K762" t="s">
        <v>75</v>
      </c>
      <c r="L762" t="s">
        <v>42</v>
      </c>
      <c r="M762" t="s">
        <v>43</v>
      </c>
      <c r="N762" t="s">
        <v>22</v>
      </c>
      <c r="O762" t="s">
        <v>23</v>
      </c>
    </row>
    <row r="763" spans="1:15" x14ac:dyDescent="0.3">
      <c r="A763" s="2" t="s">
        <v>650</v>
      </c>
      <c r="B763" s="2">
        <v>45796</v>
      </c>
      <c r="C763" t="s">
        <v>651</v>
      </c>
      <c r="D763" t="s">
        <v>68</v>
      </c>
      <c r="E763" t="s">
        <v>69</v>
      </c>
      <c r="F763" t="s">
        <v>69</v>
      </c>
      <c r="G763" s="6">
        <v>2</v>
      </c>
      <c r="H763" s="3">
        <v>730</v>
      </c>
      <c r="I763" s="5">
        <v>0.27</v>
      </c>
      <c r="J763" s="4">
        <v>147.58000000000001</v>
      </c>
      <c r="K763" t="s">
        <v>75</v>
      </c>
      <c r="L763" t="s">
        <v>208</v>
      </c>
      <c r="M763" t="s">
        <v>209</v>
      </c>
      <c r="N763" t="s">
        <v>31</v>
      </c>
      <c r="O763" t="s">
        <v>44</v>
      </c>
    </row>
    <row r="764" spans="1:15" x14ac:dyDescent="0.3">
      <c r="A764" s="2" t="s">
        <v>799</v>
      </c>
      <c r="B764" s="2">
        <v>45845</v>
      </c>
      <c r="C764" t="s">
        <v>435</v>
      </c>
      <c r="D764" t="s">
        <v>47</v>
      </c>
      <c r="E764" t="s">
        <v>48</v>
      </c>
      <c r="F764" t="s">
        <v>48</v>
      </c>
      <c r="G764" s="6">
        <v>2</v>
      </c>
      <c r="H764" s="3">
        <v>43000</v>
      </c>
      <c r="I764" s="5">
        <v>0.14000000000000001</v>
      </c>
      <c r="J764" s="4">
        <v>2821.21</v>
      </c>
      <c r="K764" t="s">
        <v>49</v>
      </c>
      <c r="L764" t="s">
        <v>60</v>
      </c>
      <c r="M764" t="s">
        <v>61</v>
      </c>
      <c r="N764" t="s">
        <v>38</v>
      </c>
      <c r="O764" t="s">
        <v>44</v>
      </c>
    </row>
    <row r="765" spans="1:15" x14ac:dyDescent="0.3">
      <c r="A765" s="2" t="s">
        <v>495</v>
      </c>
      <c r="B765" s="2">
        <v>45749</v>
      </c>
      <c r="C765" t="s">
        <v>496</v>
      </c>
      <c r="D765" t="s">
        <v>17</v>
      </c>
      <c r="E765" t="s">
        <v>110</v>
      </c>
      <c r="F765" t="s">
        <v>110</v>
      </c>
      <c r="G765" s="6">
        <v>2</v>
      </c>
      <c r="H765" s="3">
        <v>10530</v>
      </c>
      <c r="I765" s="5">
        <v>0.19</v>
      </c>
      <c r="J765" s="4">
        <v>1375.19</v>
      </c>
      <c r="K765" t="s">
        <v>75</v>
      </c>
      <c r="L765" t="s">
        <v>29</v>
      </c>
      <c r="M765" t="s">
        <v>30</v>
      </c>
      <c r="N765" t="s">
        <v>31</v>
      </c>
      <c r="O765" t="s">
        <v>23</v>
      </c>
    </row>
    <row r="766" spans="1:15" x14ac:dyDescent="0.3">
      <c r="A766" s="2" t="s">
        <v>482</v>
      </c>
      <c r="B766" s="2">
        <v>45745</v>
      </c>
      <c r="C766" t="s">
        <v>483</v>
      </c>
      <c r="D766" t="s">
        <v>47</v>
      </c>
      <c r="E766" t="s">
        <v>48</v>
      </c>
      <c r="F766" t="s">
        <v>48</v>
      </c>
      <c r="G766" s="6">
        <v>3</v>
      </c>
      <c r="H766" s="3">
        <v>64500</v>
      </c>
      <c r="I766" s="5">
        <v>0.14000000000000001</v>
      </c>
      <c r="J766" s="4">
        <v>10574.34</v>
      </c>
      <c r="K766" t="s">
        <v>19</v>
      </c>
      <c r="L766" t="s">
        <v>29</v>
      </c>
      <c r="M766" t="s">
        <v>30</v>
      </c>
      <c r="N766" t="s">
        <v>31</v>
      </c>
      <c r="O766" t="s">
        <v>23</v>
      </c>
    </row>
    <row r="767" spans="1:15" x14ac:dyDescent="0.3">
      <c r="A767" s="2" t="s">
        <v>1098</v>
      </c>
      <c r="B767" s="2">
        <v>45947</v>
      </c>
      <c r="C767" t="s">
        <v>603</v>
      </c>
      <c r="D767" t="s">
        <v>47</v>
      </c>
      <c r="E767" t="s">
        <v>194</v>
      </c>
      <c r="F767" t="s">
        <v>194</v>
      </c>
      <c r="G767" s="6">
        <v>1</v>
      </c>
      <c r="H767" s="3">
        <v>47300</v>
      </c>
      <c r="I767" s="5">
        <v>0.14000000000000001</v>
      </c>
      <c r="J767" s="4">
        <v>4754.8100000000004</v>
      </c>
      <c r="K767" t="s">
        <v>65</v>
      </c>
      <c r="L767" t="s">
        <v>149</v>
      </c>
      <c r="M767" t="s">
        <v>150</v>
      </c>
      <c r="N767" t="s">
        <v>38</v>
      </c>
      <c r="O767" t="s">
        <v>23</v>
      </c>
    </row>
    <row r="768" spans="1:15" x14ac:dyDescent="0.3">
      <c r="A768" s="2" t="s">
        <v>1082</v>
      </c>
      <c r="B768" s="2">
        <v>45943</v>
      </c>
      <c r="C768" t="s">
        <v>370</v>
      </c>
      <c r="D768" t="s">
        <v>95</v>
      </c>
      <c r="E768" t="s">
        <v>96</v>
      </c>
      <c r="F768" t="s">
        <v>96</v>
      </c>
      <c r="G768" s="6">
        <v>3</v>
      </c>
      <c r="H768" s="3">
        <v>2214</v>
      </c>
      <c r="I768" s="5">
        <v>0.18</v>
      </c>
      <c r="J768" s="4">
        <v>439.15</v>
      </c>
      <c r="K768" t="s">
        <v>28</v>
      </c>
      <c r="L768" t="s">
        <v>20</v>
      </c>
      <c r="M768" t="s">
        <v>21</v>
      </c>
      <c r="N768" t="s">
        <v>22</v>
      </c>
      <c r="O768" t="s">
        <v>23</v>
      </c>
    </row>
    <row r="769" spans="1:15" x14ac:dyDescent="0.3">
      <c r="A769" s="2" t="s">
        <v>958</v>
      </c>
      <c r="B769" s="2">
        <v>45895</v>
      </c>
      <c r="C769" t="s">
        <v>233</v>
      </c>
      <c r="D769" t="s">
        <v>47</v>
      </c>
      <c r="E769" t="s">
        <v>194</v>
      </c>
      <c r="F769" t="s">
        <v>194</v>
      </c>
      <c r="G769" s="6">
        <v>1</v>
      </c>
      <c r="H769" s="3">
        <v>44000</v>
      </c>
      <c r="I769" s="5">
        <v>0.2</v>
      </c>
      <c r="J769" s="4">
        <v>7077.07</v>
      </c>
      <c r="K769" t="s">
        <v>75</v>
      </c>
      <c r="L769" t="s">
        <v>29</v>
      </c>
      <c r="M769" t="s">
        <v>30</v>
      </c>
      <c r="N769" t="s">
        <v>31</v>
      </c>
      <c r="O769" t="s">
        <v>23</v>
      </c>
    </row>
    <row r="770" spans="1:15" x14ac:dyDescent="0.3">
      <c r="A770" s="2" t="s">
        <v>647</v>
      </c>
      <c r="B770" s="2">
        <v>45795</v>
      </c>
      <c r="C770" t="s">
        <v>337</v>
      </c>
      <c r="D770" t="s">
        <v>17</v>
      </c>
      <c r="E770" t="s">
        <v>18</v>
      </c>
      <c r="F770" t="s">
        <v>18</v>
      </c>
      <c r="G770" s="6">
        <v>5</v>
      </c>
      <c r="H770" s="3">
        <v>120000</v>
      </c>
      <c r="I770" s="5">
        <v>0.2</v>
      </c>
      <c r="J770" s="4">
        <v>14872.02</v>
      </c>
      <c r="K770" t="s">
        <v>52</v>
      </c>
      <c r="L770" t="s">
        <v>159</v>
      </c>
      <c r="M770" t="s">
        <v>160</v>
      </c>
      <c r="N770" t="s">
        <v>38</v>
      </c>
      <c r="O770" t="s">
        <v>23</v>
      </c>
    </row>
    <row r="771" spans="1:15" x14ac:dyDescent="0.3">
      <c r="A771" s="2" t="s">
        <v>1227</v>
      </c>
      <c r="B771" s="2">
        <v>45994</v>
      </c>
      <c r="C771" t="s">
        <v>331</v>
      </c>
      <c r="D771" t="s">
        <v>95</v>
      </c>
      <c r="E771" t="s">
        <v>104</v>
      </c>
      <c r="F771" t="s">
        <v>104</v>
      </c>
      <c r="G771" s="6">
        <v>3</v>
      </c>
      <c r="H771" s="3">
        <v>9240</v>
      </c>
      <c r="I771" s="5">
        <v>0.12</v>
      </c>
      <c r="J771" s="4">
        <v>1707.7</v>
      </c>
      <c r="K771" t="s">
        <v>19</v>
      </c>
      <c r="L771" t="s">
        <v>208</v>
      </c>
      <c r="M771" t="s">
        <v>209</v>
      </c>
      <c r="N771" t="s">
        <v>31</v>
      </c>
      <c r="O771" t="s">
        <v>23</v>
      </c>
    </row>
    <row r="772" spans="1:15" x14ac:dyDescent="0.3">
      <c r="A772" s="2" t="s">
        <v>615</v>
      </c>
      <c r="B772" s="2">
        <v>45786</v>
      </c>
      <c r="C772" t="s">
        <v>335</v>
      </c>
      <c r="D772" t="s">
        <v>17</v>
      </c>
      <c r="E772" t="s">
        <v>85</v>
      </c>
      <c r="F772" t="s">
        <v>85</v>
      </c>
      <c r="G772" s="6">
        <v>2</v>
      </c>
      <c r="H772" s="3">
        <v>11250</v>
      </c>
      <c r="I772" s="5">
        <v>0.25</v>
      </c>
      <c r="J772" s="4">
        <v>1620.63</v>
      </c>
      <c r="K772" t="s">
        <v>28</v>
      </c>
      <c r="L772" t="s">
        <v>170</v>
      </c>
      <c r="M772" t="s">
        <v>171</v>
      </c>
      <c r="N772" t="s">
        <v>31</v>
      </c>
      <c r="O772" t="s">
        <v>23</v>
      </c>
    </row>
    <row r="773" spans="1:15" x14ac:dyDescent="0.3">
      <c r="A773" s="2" t="s">
        <v>689</v>
      </c>
      <c r="B773" s="2">
        <v>45807</v>
      </c>
      <c r="C773" t="s">
        <v>690</v>
      </c>
      <c r="D773" t="s">
        <v>34</v>
      </c>
      <c r="E773" t="s">
        <v>302</v>
      </c>
      <c r="F773" t="s">
        <v>302</v>
      </c>
      <c r="G773" s="6">
        <v>5</v>
      </c>
      <c r="H773" s="3">
        <v>14875</v>
      </c>
      <c r="I773" s="5">
        <v>0.15</v>
      </c>
      <c r="J773" s="4">
        <v>2633.66</v>
      </c>
      <c r="K773" t="s">
        <v>19</v>
      </c>
      <c r="L773" t="s">
        <v>159</v>
      </c>
      <c r="M773" t="s">
        <v>160</v>
      </c>
      <c r="N773" t="s">
        <v>38</v>
      </c>
      <c r="O773" t="s">
        <v>23</v>
      </c>
    </row>
    <row r="774" spans="1:15" x14ac:dyDescent="0.3">
      <c r="A774" s="2" t="s">
        <v>262</v>
      </c>
      <c r="B774" s="2">
        <v>45694</v>
      </c>
      <c r="C774" t="s">
        <v>263</v>
      </c>
      <c r="D774" t="s">
        <v>34</v>
      </c>
      <c r="E774" t="s">
        <v>143</v>
      </c>
      <c r="F774" t="s">
        <v>143</v>
      </c>
      <c r="G774" s="6">
        <v>2</v>
      </c>
      <c r="H774" s="3">
        <v>1168</v>
      </c>
      <c r="I774" s="5">
        <v>0.27</v>
      </c>
      <c r="J774" s="4">
        <v>168.31</v>
      </c>
      <c r="K774" t="s">
        <v>28</v>
      </c>
      <c r="L774" t="s">
        <v>170</v>
      </c>
      <c r="M774" t="s">
        <v>171</v>
      </c>
      <c r="N774" t="s">
        <v>31</v>
      </c>
      <c r="O774" t="s">
        <v>23</v>
      </c>
    </row>
    <row r="775" spans="1:15" x14ac:dyDescent="0.3">
      <c r="A775" s="2" t="s">
        <v>1084</v>
      </c>
      <c r="B775" s="2">
        <v>45943</v>
      </c>
      <c r="C775" t="s">
        <v>289</v>
      </c>
      <c r="D775" t="s">
        <v>34</v>
      </c>
      <c r="E775" t="s">
        <v>35</v>
      </c>
      <c r="F775" t="s">
        <v>35</v>
      </c>
      <c r="G775" s="6">
        <v>1</v>
      </c>
      <c r="H775" s="3">
        <v>984</v>
      </c>
      <c r="I775" s="5">
        <v>0.18</v>
      </c>
      <c r="J775" s="4">
        <v>162.96</v>
      </c>
      <c r="K775" t="s">
        <v>28</v>
      </c>
      <c r="L775" t="s">
        <v>149</v>
      </c>
      <c r="M775" t="s">
        <v>150</v>
      </c>
      <c r="N775" t="s">
        <v>38</v>
      </c>
      <c r="O775" t="s">
        <v>23</v>
      </c>
    </row>
    <row r="776" spans="1:15" x14ac:dyDescent="0.3">
      <c r="A776" s="2" t="s">
        <v>997</v>
      </c>
      <c r="B776" s="2">
        <v>45910</v>
      </c>
      <c r="C776" t="s">
        <v>273</v>
      </c>
      <c r="D776" t="s">
        <v>26</v>
      </c>
      <c r="E776" t="s">
        <v>188</v>
      </c>
      <c r="F776" t="s">
        <v>188</v>
      </c>
      <c r="G776" s="6">
        <v>1</v>
      </c>
      <c r="H776" s="3">
        <v>2460</v>
      </c>
      <c r="I776" s="5">
        <v>0.18</v>
      </c>
      <c r="J776" s="4">
        <v>359.61</v>
      </c>
      <c r="K776" t="s">
        <v>65</v>
      </c>
      <c r="L776" t="s">
        <v>208</v>
      </c>
      <c r="M776" t="s">
        <v>209</v>
      </c>
      <c r="N776" t="s">
        <v>31</v>
      </c>
      <c r="O776" t="s">
        <v>44</v>
      </c>
    </row>
    <row r="777" spans="1:15" x14ac:dyDescent="0.3">
      <c r="A777" s="2" t="s">
        <v>1177</v>
      </c>
      <c r="B777" s="2">
        <v>45978</v>
      </c>
      <c r="C777" t="s">
        <v>114</v>
      </c>
      <c r="D777" t="s">
        <v>26</v>
      </c>
      <c r="E777" t="s">
        <v>64</v>
      </c>
      <c r="F777" t="s">
        <v>64</v>
      </c>
      <c r="G777" s="6">
        <v>4</v>
      </c>
      <c r="H777" s="3">
        <v>3024</v>
      </c>
      <c r="I777" s="5">
        <v>0.16</v>
      </c>
      <c r="J777" s="4">
        <v>552.08000000000004</v>
      </c>
      <c r="K777" t="s">
        <v>65</v>
      </c>
      <c r="L777" t="s">
        <v>208</v>
      </c>
      <c r="M777" t="s">
        <v>209</v>
      </c>
      <c r="N777" t="s">
        <v>31</v>
      </c>
      <c r="O777" t="s">
        <v>44</v>
      </c>
    </row>
    <row r="778" spans="1:15" x14ac:dyDescent="0.3">
      <c r="A778" s="2" t="s">
        <v>736</v>
      </c>
      <c r="B778" s="2">
        <v>45819</v>
      </c>
      <c r="C778" t="s">
        <v>597</v>
      </c>
      <c r="D778" t="s">
        <v>17</v>
      </c>
      <c r="E778" t="s">
        <v>85</v>
      </c>
      <c r="F778" t="s">
        <v>85</v>
      </c>
      <c r="G778" s="6">
        <v>1</v>
      </c>
      <c r="H778" s="3">
        <v>5700</v>
      </c>
      <c r="I778" s="5">
        <v>0.24</v>
      </c>
      <c r="J778" s="4">
        <v>963.29</v>
      </c>
      <c r="K778" t="s">
        <v>75</v>
      </c>
      <c r="L778" t="s">
        <v>149</v>
      </c>
      <c r="M778" t="s">
        <v>175</v>
      </c>
      <c r="N778" t="s">
        <v>38</v>
      </c>
      <c r="O778" t="s">
        <v>44</v>
      </c>
    </row>
    <row r="779" spans="1:15" x14ac:dyDescent="0.3">
      <c r="A779" s="2" t="s">
        <v>975</v>
      </c>
      <c r="B779" s="2">
        <v>45902</v>
      </c>
      <c r="C779" t="s">
        <v>500</v>
      </c>
      <c r="D779" t="s">
        <v>34</v>
      </c>
      <c r="E779" t="s">
        <v>107</v>
      </c>
      <c r="F779" t="s">
        <v>107</v>
      </c>
      <c r="G779" s="6">
        <v>3</v>
      </c>
      <c r="H779" s="3">
        <v>12015</v>
      </c>
      <c r="I779" s="5">
        <v>0.11</v>
      </c>
      <c r="J779" s="4">
        <v>1462.71</v>
      </c>
      <c r="K779" t="s">
        <v>19</v>
      </c>
      <c r="L779" t="s">
        <v>149</v>
      </c>
      <c r="M779" t="s">
        <v>150</v>
      </c>
      <c r="N779" t="s">
        <v>38</v>
      </c>
      <c r="O779" t="s">
        <v>23</v>
      </c>
    </row>
    <row r="780" spans="1:15" x14ac:dyDescent="0.3">
      <c r="A780" s="2" t="s">
        <v>539</v>
      </c>
      <c r="B780" s="2">
        <v>45761</v>
      </c>
      <c r="C780" t="s">
        <v>540</v>
      </c>
      <c r="D780" t="s">
        <v>68</v>
      </c>
      <c r="E780" t="s">
        <v>153</v>
      </c>
      <c r="F780" t="s">
        <v>153</v>
      </c>
      <c r="G780" s="6">
        <v>1</v>
      </c>
      <c r="H780" s="3">
        <v>1032</v>
      </c>
      <c r="I780" s="5">
        <v>0.14000000000000001</v>
      </c>
      <c r="J780" s="4">
        <v>202.71</v>
      </c>
      <c r="K780" t="s">
        <v>28</v>
      </c>
      <c r="L780" t="s">
        <v>36</v>
      </c>
      <c r="M780" t="s">
        <v>128</v>
      </c>
      <c r="N780" t="s">
        <v>38</v>
      </c>
      <c r="O780" t="s">
        <v>44</v>
      </c>
    </row>
    <row r="781" spans="1:15" x14ac:dyDescent="0.3">
      <c r="A781" s="2" t="s">
        <v>800</v>
      </c>
      <c r="B781" s="2">
        <v>45845</v>
      </c>
      <c r="C781" t="s">
        <v>496</v>
      </c>
      <c r="D781" t="s">
        <v>34</v>
      </c>
      <c r="E781" t="s">
        <v>35</v>
      </c>
      <c r="F781" t="s">
        <v>35</v>
      </c>
      <c r="G781" s="6">
        <v>5</v>
      </c>
      <c r="H781" s="3">
        <v>4860</v>
      </c>
      <c r="I781" s="5">
        <v>0.19</v>
      </c>
      <c r="J781" s="4">
        <v>958.93</v>
      </c>
      <c r="K781" t="s">
        <v>28</v>
      </c>
      <c r="L781" t="s">
        <v>29</v>
      </c>
      <c r="M781" t="s">
        <v>30</v>
      </c>
      <c r="N781" t="s">
        <v>31</v>
      </c>
      <c r="O781" t="s">
        <v>23</v>
      </c>
    </row>
    <row r="782" spans="1:15" x14ac:dyDescent="0.3">
      <c r="A782" s="2" t="s">
        <v>1214</v>
      </c>
      <c r="B782" s="2">
        <v>45990</v>
      </c>
      <c r="C782" t="s">
        <v>266</v>
      </c>
      <c r="D782" t="s">
        <v>47</v>
      </c>
      <c r="E782" t="s">
        <v>194</v>
      </c>
      <c r="F782" t="s">
        <v>194</v>
      </c>
      <c r="G782" s="6">
        <v>2</v>
      </c>
      <c r="H782" s="3">
        <v>105600</v>
      </c>
      <c r="I782" s="5">
        <v>0.04</v>
      </c>
      <c r="J782" s="4">
        <v>11946.41</v>
      </c>
      <c r="K782" t="s">
        <v>28</v>
      </c>
      <c r="L782" t="s">
        <v>121</v>
      </c>
      <c r="M782" t="s">
        <v>122</v>
      </c>
      <c r="N782" t="s">
        <v>55</v>
      </c>
      <c r="O782" t="s">
        <v>44</v>
      </c>
    </row>
    <row r="783" spans="1:15" x14ac:dyDescent="0.3">
      <c r="A783" s="2" t="s">
        <v>1273</v>
      </c>
      <c r="B783" s="2">
        <v>46011</v>
      </c>
      <c r="C783" t="s">
        <v>441</v>
      </c>
      <c r="D783" t="s">
        <v>17</v>
      </c>
      <c r="E783" t="s">
        <v>158</v>
      </c>
      <c r="F783" t="s">
        <v>158</v>
      </c>
      <c r="G783" s="6">
        <v>5</v>
      </c>
      <c r="H783" s="3">
        <v>88000</v>
      </c>
      <c r="I783" s="5">
        <v>0.2</v>
      </c>
      <c r="J783" s="4">
        <v>4869.8500000000004</v>
      </c>
      <c r="K783" t="s">
        <v>52</v>
      </c>
      <c r="L783" t="s">
        <v>134</v>
      </c>
      <c r="M783" t="s">
        <v>135</v>
      </c>
      <c r="N783" t="s">
        <v>55</v>
      </c>
      <c r="O783" t="s">
        <v>23</v>
      </c>
    </row>
    <row r="784" spans="1:15" x14ac:dyDescent="0.3">
      <c r="A784" s="2" t="s">
        <v>850</v>
      </c>
      <c r="B784" s="2">
        <v>45862</v>
      </c>
      <c r="C784" t="s">
        <v>355</v>
      </c>
      <c r="D784" t="s">
        <v>47</v>
      </c>
      <c r="E784" t="s">
        <v>224</v>
      </c>
      <c r="F784" t="s">
        <v>224</v>
      </c>
      <c r="G784" s="6">
        <v>2</v>
      </c>
      <c r="H784" s="3">
        <v>8700</v>
      </c>
      <c r="I784" s="5">
        <v>0.13</v>
      </c>
      <c r="J784" s="4">
        <v>1444.59</v>
      </c>
      <c r="K784" t="s">
        <v>52</v>
      </c>
      <c r="L784" t="s">
        <v>149</v>
      </c>
      <c r="M784" t="s">
        <v>175</v>
      </c>
      <c r="N784" t="s">
        <v>38</v>
      </c>
      <c r="O784" t="s">
        <v>23</v>
      </c>
    </row>
    <row r="785" spans="1:15" x14ac:dyDescent="0.3">
      <c r="A785" s="2" t="s">
        <v>1065</v>
      </c>
      <c r="B785" s="2">
        <v>45938</v>
      </c>
      <c r="C785" t="s">
        <v>779</v>
      </c>
      <c r="D785" t="s">
        <v>47</v>
      </c>
      <c r="E785" t="s">
        <v>74</v>
      </c>
      <c r="F785" t="s">
        <v>74</v>
      </c>
      <c r="G785" s="6">
        <v>4</v>
      </c>
      <c r="H785" s="3">
        <v>63360</v>
      </c>
      <c r="I785" s="5">
        <v>0.12</v>
      </c>
      <c r="J785" s="4">
        <v>7845.27</v>
      </c>
      <c r="K785" t="s">
        <v>49</v>
      </c>
      <c r="L785" t="s">
        <v>36</v>
      </c>
      <c r="M785" t="s">
        <v>37</v>
      </c>
      <c r="N785" t="s">
        <v>38</v>
      </c>
      <c r="O785" t="s">
        <v>23</v>
      </c>
    </row>
    <row r="786" spans="1:15" x14ac:dyDescent="0.3">
      <c r="A786" s="2" t="s">
        <v>619</v>
      </c>
      <c r="B786" s="2">
        <v>45787</v>
      </c>
      <c r="C786" t="s">
        <v>187</v>
      </c>
      <c r="D786" t="s">
        <v>95</v>
      </c>
      <c r="E786" t="s">
        <v>104</v>
      </c>
      <c r="F786" t="s">
        <v>104</v>
      </c>
      <c r="G786" s="6">
        <v>1</v>
      </c>
      <c r="H786" s="3">
        <v>3150</v>
      </c>
      <c r="I786" s="5">
        <v>0.1</v>
      </c>
      <c r="J786" s="4">
        <v>476.44</v>
      </c>
      <c r="K786" t="s">
        <v>28</v>
      </c>
      <c r="L786" t="s">
        <v>36</v>
      </c>
      <c r="M786" t="s">
        <v>128</v>
      </c>
      <c r="N786" t="s">
        <v>38</v>
      </c>
      <c r="O786" t="s">
        <v>23</v>
      </c>
    </row>
    <row r="787" spans="1:15" x14ac:dyDescent="0.3">
      <c r="A787" s="2" t="s">
        <v>108</v>
      </c>
      <c r="B787" s="2">
        <v>45665</v>
      </c>
      <c r="C787" t="s">
        <v>109</v>
      </c>
      <c r="D787" t="s">
        <v>17</v>
      </c>
      <c r="E787" t="s">
        <v>110</v>
      </c>
      <c r="F787" t="s">
        <v>110</v>
      </c>
      <c r="G787" s="6">
        <v>2</v>
      </c>
      <c r="H787" s="3">
        <v>11050</v>
      </c>
      <c r="I787" s="5">
        <v>0.15</v>
      </c>
      <c r="J787" s="4">
        <v>1041.42</v>
      </c>
      <c r="K787" t="s">
        <v>28</v>
      </c>
      <c r="L787" t="s">
        <v>97</v>
      </c>
      <c r="M787" t="s">
        <v>98</v>
      </c>
      <c r="N787" t="s">
        <v>31</v>
      </c>
      <c r="O787" t="s">
        <v>44</v>
      </c>
    </row>
    <row r="788" spans="1:15" x14ac:dyDescent="0.3">
      <c r="A788" s="2" t="s">
        <v>1051</v>
      </c>
      <c r="B788" s="2">
        <v>45934</v>
      </c>
      <c r="C788" t="s">
        <v>965</v>
      </c>
      <c r="D788" t="s">
        <v>34</v>
      </c>
      <c r="E788" t="s">
        <v>302</v>
      </c>
      <c r="F788" t="s">
        <v>302</v>
      </c>
      <c r="G788" s="6">
        <v>4</v>
      </c>
      <c r="H788" s="3">
        <v>11340</v>
      </c>
      <c r="I788" s="5">
        <v>0.19</v>
      </c>
      <c r="J788" s="4">
        <v>1945.52</v>
      </c>
      <c r="K788" t="s">
        <v>19</v>
      </c>
      <c r="L788" t="s">
        <v>208</v>
      </c>
      <c r="M788" t="s">
        <v>209</v>
      </c>
      <c r="N788" t="s">
        <v>31</v>
      </c>
      <c r="O788" t="s">
        <v>44</v>
      </c>
    </row>
    <row r="789" spans="1:15" x14ac:dyDescent="0.3">
      <c r="A789" s="2" t="s">
        <v>404</v>
      </c>
      <c r="B789" s="2">
        <v>45725</v>
      </c>
      <c r="C789" t="s">
        <v>296</v>
      </c>
      <c r="D789" t="s">
        <v>47</v>
      </c>
      <c r="E789" t="s">
        <v>82</v>
      </c>
      <c r="F789" t="s">
        <v>82</v>
      </c>
      <c r="G789" s="6">
        <v>2</v>
      </c>
      <c r="H789" s="3">
        <v>6020</v>
      </c>
      <c r="I789" s="5">
        <v>0.14000000000000001</v>
      </c>
      <c r="J789" s="4">
        <v>744.88</v>
      </c>
      <c r="K789" t="s">
        <v>19</v>
      </c>
      <c r="L789" t="s">
        <v>134</v>
      </c>
      <c r="M789" t="s">
        <v>135</v>
      </c>
      <c r="N789" t="s">
        <v>55</v>
      </c>
      <c r="O789" t="s">
        <v>23</v>
      </c>
    </row>
    <row r="790" spans="1:15" x14ac:dyDescent="0.3">
      <c r="A790" s="2" t="s">
        <v>542</v>
      </c>
      <c r="B790" s="2">
        <v>45761</v>
      </c>
      <c r="C790" t="s">
        <v>157</v>
      </c>
      <c r="D790" t="s">
        <v>17</v>
      </c>
      <c r="E790" t="s">
        <v>90</v>
      </c>
      <c r="F790" t="s">
        <v>90</v>
      </c>
      <c r="G790" s="6">
        <v>3</v>
      </c>
      <c r="H790" s="3">
        <v>13500</v>
      </c>
      <c r="I790" s="5">
        <v>0.1</v>
      </c>
      <c r="J790" s="4">
        <v>1590.13</v>
      </c>
      <c r="K790" t="s">
        <v>52</v>
      </c>
      <c r="L790" t="s">
        <v>20</v>
      </c>
      <c r="M790" t="s">
        <v>21</v>
      </c>
      <c r="N790" t="s">
        <v>22</v>
      </c>
      <c r="O790" t="s">
        <v>23</v>
      </c>
    </row>
    <row r="791" spans="1:15" x14ac:dyDescent="0.3">
      <c r="A791" s="2" t="s">
        <v>718</v>
      </c>
      <c r="B791" s="2">
        <v>45813</v>
      </c>
      <c r="C791" t="s">
        <v>450</v>
      </c>
      <c r="D791" t="s">
        <v>17</v>
      </c>
      <c r="E791" t="s">
        <v>158</v>
      </c>
      <c r="F791" t="s">
        <v>158</v>
      </c>
      <c r="G791" s="6">
        <v>1</v>
      </c>
      <c r="H791" s="3">
        <v>16720</v>
      </c>
      <c r="I791" s="5">
        <v>0.24</v>
      </c>
      <c r="J791" s="4">
        <v>1628.62</v>
      </c>
      <c r="K791" t="s">
        <v>49</v>
      </c>
      <c r="L791" t="s">
        <v>36</v>
      </c>
      <c r="M791" t="s">
        <v>37</v>
      </c>
      <c r="N791" t="s">
        <v>38</v>
      </c>
      <c r="O791" t="s">
        <v>44</v>
      </c>
    </row>
    <row r="792" spans="1:15" x14ac:dyDescent="0.3">
      <c r="A792" s="2" t="s">
        <v>939</v>
      </c>
      <c r="B792" s="2">
        <v>45887</v>
      </c>
      <c r="C792" t="s">
        <v>472</v>
      </c>
      <c r="D792" t="s">
        <v>95</v>
      </c>
      <c r="E792" t="s">
        <v>125</v>
      </c>
      <c r="F792" t="s">
        <v>125</v>
      </c>
      <c r="G792" s="6">
        <v>2</v>
      </c>
      <c r="H792" s="3">
        <v>3132</v>
      </c>
      <c r="I792" s="5">
        <v>0.13</v>
      </c>
      <c r="J792" s="4">
        <v>538.4</v>
      </c>
      <c r="K792" t="s">
        <v>52</v>
      </c>
      <c r="L792" t="s">
        <v>208</v>
      </c>
      <c r="M792" t="s">
        <v>209</v>
      </c>
      <c r="N792" t="s">
        <v>31</v>
      </c>
      <c r="O792" t="s">
        <v>44</v>
      </c>
    </row>
    <row r="793" spans="1:15" x14ac:dyDescent="0.3">
      <c r="A793" s="2" t="s">
        <v>630</v>
      </c>
      <c r="B793" s="2">
        <v>45789</v>
      </c>
      <c r="C793" t="s">
        <v>296</v>
      </c>
      <c r="D793" t="s">
        <v>68</v>
      </c>
      <c r="E793" t="s">
        <v>120</v>
      </c>
      <c r="F793" t="s">
        <v>120</v>
      </c>
      <c r="G793" s="6">
        <v>5</v>
      </c>
      <c r="H793" s="3">
        <v>2485</v>
      </c>
      <c r="I793" s="5">
        <v>0.28999999999999998</v>
      </c>
      <c r="J793" s="4">
        <v>457.97</v>
      </c>
      <c r="K793" t="s">
        <v>49</v>
      </c>
      <c r="L793" t="s">
        <v>208</v>
      </c>
      <c r="M793" t="s">
        <v>209</v>
      </c>
      <c r="N793" t="s">
        <v>31</v>
      </c>
      <c r="O793" t="s">
        <v>23</v>
      </c>
    </row>
    <row r="794" spans="1:15" x14ac:dyDescent="0.3">
      <c r="A794" s="2" t="s">
        <v>959</v>
      </c>
      <c r="B794" s="2">
        <v>45896</v>
      </c>
      <c r="C794" t="s">
        <v>520</v>
      </c>
      <c r="D794" t="s">
        <v>17</v>
      </c>
      <c r="E794" t="s">
        <v>18</v>
      </c>
      <c r="F794" t="s">
        <v>18</v>
      </c>
      <c r="G794" s="6">
        <v>1</v>
      </c>
      <c r="H794" s="3">
        <v>25500</v>
      </c>
      <c r="I794" s="5">
        <v>0.15</v>
      </c>
      <c r="J794" s="4">
        <v>2267.6799999999998</v>
      </c>
      <c r="K794" t="s">
        <v>75</v>
      </c>
      <c r="L794" t="s">
        <v>170</v>
      </c>
      <c r="M794" t="s">
        <v>171</v>
      </c>
      <c r="N794" t="s">
        <v>31</v>
      </c>
      <c r="O794" t="s">
        <v>23</v>
      </c>
    </row>
    <row r="795" spans="1:15" x14ac:dyDescent="0.3">
      <c r="A795" s="2" t="s">
        <v>996</v>
      </c>
      <c r="B795" s="2">
        <v>45910</v>
      </c>
      <c r="C795" t="s">
        <v>415</v>
      </c>
      <c r="D795" t="s">
        <v>34</v>
      </c>
      <c r="E795" t="s">
        <v>143</v>
      </c>
      <c r="F795" t="s">
        <v>143</v>
      </c>
      <c r="G795" s="6">
        <v>3</v>
      </c>
      <c r="H795" s="3">
        <v>1920</v>
      </c>
      <c r="I795" s="5">
        <v>0.2</v>
      </c>
      <c r="J795" s="4">
        <v>329.03</v>
      </c>
      <c r="K795" t="s">
        <v>65</v>
      </c>
      <c r="L795" t="s">
        <v>36</v>
      </c>
      <c r="M795" t="s">
        <v>101</v>
      </c>
      <c r="N795" t="s">
        <v>38</v>
      </c>
      <c r="O795" t="s">
        <v>44</v>
      </c>
    </row>
    <row r="796" spans="1:15" x14ac:dyDescent="0.3">
      <c r="A796" s="2" t="s">
        <v>666</v>
      </c>
      <c r="B796" s="2">
        <v>45799</v>
      </c>
      <c r="C796" t="s">
        <v>667</v>
      </c>
      <c r="D796" t="s">
        <v>17</v>
      </c>
      <c r="E796" t="s">
        <v>85</v>
      </c>
      <c r="F796" t="s">
        <v>85</v>
      </c>
      <c r="G796" s="6">
        <v>2</v>
      </c>
      <c r="H796" s="3">
        <v>12150</v>
      </c>
      <c r="I796" s="5">
        <v>0.19</v>
      </c>
      <c r="J796" s="4">
        <v>1761.64</v>
      </c>
      <c r="K796" t="s">
        <v>49</v>
      </c>
      <c r="L796" t="s">
        <v>78</v>
      </c>
      <c r="M796" t="s">
        <v>79</v>
      </c>
      <c r="N796" t="s">
        <v>22</v>
      </c>
      <c r="O796" t="s">
        <v>23</v>
      </c>
    </row>
    <row r="797" spans="1:15" x14ac:dyDescent="0.3">
      <c r="A797" s="2" t="s">
        <v>714</v>
      </c>
      <c r="B797" s="2">
        <v>45812</v>
      </c>
      <c r="C797" t="s">
        <v>309</v>
      </c>
      <c r="D797" t="s">
        <v>95</v>
      </c>
      <c r="E797" t="s">
        <v>104</v>
      </c>
      <c r="F797" t="s">
        <v>104</v>
      </c>
      <c r="G797" s="6">
        <v>2</v>
      </c>
      <c r="H797" s="3">
        <v>5530</v>
      </c>
      <c r="I797" s="5">
        <v>0.21</v>
      </c>
      <c r="J797" s="4">
        <v>917.63</v>
      </c>
      <c r="K797" t="s">
        <v>65</v>
      </c>
      <c r="L797" t="s">
        <v>149</v>
      </c>
      <c r="M797" t="s">
        <v>150</v>
      </c>
      <c r="N797" t="s">
        <v>38</v>
      </c>
      <c r="O797" t="s">
        <v>44</v>
      </c>
    </row>
    <row r="798" spans="1:15" x14ac:dyDescent="0.3">
      <c r="A798" s="2" t="s">
        <v>534</v>
      </c>
      <c r="B798" s="2">
        <v>45759</v>
      </c>
      <c r="C798" t="s">
        <v>220</v>
      </c>
      <c r="D798" t="s">
        <v>17</v>
      </c>
      <c r="E798" t="s">
        <v>158</v>
      </c>
      <c r="F798" t="s">
        <v>158</v>
      </c>
      <c r="G798" s="6">
        <v>3</v>
      </c>
      <c r="H798" s="3">
        <v>56760</v>
      </c>
      <c r="I798" s="5">
        <v>0.14000000000000001</v>
      </c>
      <c r="J798" s="4">
        <v>5954.89</v>
      </c>
      <c r="K798" t="s">
        <v>52</v>
      </c>
      <c r="L798" t="s">
        <v>159</v>
      </c>
      <c r="M798" t="s">
        <v>160</v>
      </c>
      <c r="N798" t="s">
        <v>38</v>
      </c>
      <c r="O798" t="s">
        <v>23</v>
      </c>
    </row>
    <row r="799" spans="1:15" x14ac:dyDescent="0.3">
      <c r="A799" s="2" t="s">
        <v>219</v>
      </c>
      <c r="B799" s="2">
        <v>45685</v>
      </c>
      <c r="C799" t="s">
        <v>220</v>
      </c>
      <c r="D799" t="s">
        <v>47</v>
      </c>
      <c r="E799" t="s">
        <v>48</v>
      </c>
      <c r="F799" t="s">
        <v>48</v>
      </c>
      <c r="G799" s="6">
        <v>5</v>
      </c>
      <c r="H799" s="3">
        <v>113750</v>
      </c>
      <c r="I799" s="5">
        <v>0.09</v>
      </c>
      <c r="J799" s="4">
        <v>14381.23</v>
      </c>
      <c r="K799" t="s">
        <v>52</v>
      </c>
      <c r="L799" t="s">
        <v>208</v>
      </c>
      <c r="M799" t="s">
        <v>209</v>
      </c>
      <c r="N799" t="s">
        <v>31</v>
      </c>
      <c r="O799" t="s">
        <v>23</v>
      </c>
    </row>
    <row r="800" spans="1:15" x14ac:dyDescent="0.3">
      <c r="A800" s="2" t="s">
        <v>669</v>
      </c>
      <c r="B800" s="2">
        <v>45800</v>
      </c>
      <c r="C800" t="s">
        <v>226</v>
      </c>
      <c r="D800" t="s">
        <v>95</v>
      </c>
      <c r="E800" t="s">
        <v>125</v>
      </c>
      <c r="F800" t="s">
        <v>125</v>
      </c>
      <c r="G800" s="6">
        <v>1</v>
      </c>
      <c r="H800" s="3">
        <v>1548</v>
      </c>
      <c r="I800" s="5">
        <v>0.14000000000000001</v>
      </c>
      <c r="J800" s="4">
        <v>247.12</v>
      </c>
      <c r="K800" t="s">
        <v>19</v>
      </c>
      <c r="L800" t="s">
        <v>20</v>
      </c>
      <c r="M800" t="s">
        <v>21</v>
      </c>
      <c r="N800" t="s">
        <v>22</v>
      </c>
      <c r="O800" t="s">
        <v>44</v>
      </c>
    </row>
    <row r="801" spans="1:15" x14ac:dyDescent="0.3">
      <c r="A801" s="2" t="s">
        <v>863</v>
      </c>
      <c r="B801" s="2">
        <v>45866</v>
      </c>
      <c r="C801" t="s">
        <v>201</v>
      </c>
      <c r="D801" t="s">
        <v>95</v>
      </c>
      <c r="E801" t="s">
        <v>125</v>
      </c>
      <c r="F801" t="s">
        <v>125</v>
      </c>
      <c r="G801" s="6">
        <v>3</v>
      </c>
      <c r="H801" s="3">
        <v>4536</v>
      </c>
      <c r="I801" s="5">
        <v>0.16</v>
      </c>
      <c r="J801" s="4">
        <v>578.53</v>
      </c>
      <c r="K801" t="s">
        <v>19</v>
      </c>
      <c r="L801" t="s">
        <v>86</v>
      </c>
      <c r="M801" t="s">
        <v>87</v>
      </c>
      <c r="N801" t="s">
        <v>38</v>
      </c>
      <c r="O801" t="s">
        <v>44</v>
      </c>
    </row>
    <row r="802" spans="1:15" x14ac:dyDescent="0.3">
      <c r="A802" s="2" t="s">
        <v>1138</v>
      </c>
      <c r="B802" s="2">
        <v>45964</v>
      </c>
      <c r="C802" t="s">
        <v>441</v>
      </c>
      <c r="D802" t="s">
        <v>95</v>
      </c>
      <c r="E802" t="s">
        <v>96</v>
      </c>
      <c r="F802" t="s">
        <v>96</v>
      </c>
      <c r="G802" s="6">
        <v>1</v>
      </c>
      <c r="H802" s="3">
        <v>738</v>
      </c>
      <c r="I802" s="5">
        <v>0.18</v>
      </c>
      <c r="J802" s="4">
        <v>125.75</v>
      </c>
      <c r="K802" t="s">
        <v>19</v>
      </c>
      <c r="L802" t="s">
        <v>78</v>
      </c>
      <c r="M802" t="s">
        <v>79</v>
      </c>
      <c r="N802" t="s">
        <v>22</v>
      </c>
      <c r="O802" t="s">
        <v>44</v>
      </c>
    </row>
    <row r="803" spans="1:15" x14ac:dyDescent="0.3">
      <c r="A803" s="2" t="s">
        <v>1038</v>
      </c>
      <c r="B803" s="2">
        <v>45928</v>
      </c>
      <c r="C803" t="s">
        <v>259</v>
      </c>
      <c r="D803" t="s">
        <v>17</v>
      </c>
      <c r="E803" t="s">
        <v>90</v>
      </c>
      <c r="F803" t="s">
        <v>90</v>
      </c>
      <c r="G803" s="6">
        <v>4</v>
      </c>
      <c r="H803" s="3">
        <v>17200</v>
      </c>
      <c r="I803" s="5">
        <v>0.14000000000000001</v>
      </c>
      <c r="J803" s="4">
        <v>1737.98</v>
      </c>
      <c r="K803" t="s">
        <v>75</v>
      </c>
      <c r="L803" t="s">
        <v>159</v>
      </c>
      <c r="M803" t="s">
        <v>160</v>
      </c>
      <c r="N803" t="s">
        <v>38</v>
      </c>
      <c r="O803" t="s">
        <v>23</v>
      </c>
    </row>
    <row r="804" spans="1:15" x14ac:dyDescent="0.3">
      <c r="A804" s="2" t="s">
        <v>1061</v>
      </c>
      <c r="B804" s="2">
        <v>45938</v>
      </c>
      <c r="C804" t="s">
        <v>280</v>
      </c>
      <c r="D804" t="s">
        <v>17</v>
      </c>
      <c r="E804" t="s">
        <v>85</v>
      </c>
      <c r="F804" t="s">
        <v>85</v>
      </c>
      <c r="G804" s="6">
        <v>1</v>
      </c>
      <c r="H804" s="3">
        <v>5850</v>
      </c>
      <c r="I804" s="5">
        <v>0.22</v>
      </c>
      <c r="J804" s="4">
        <v>749.31</v>
      </c>
      <c r="K804" t="s">
        <v>19</v>
      </c>
      <c r="L804" t="s">
        <v>170</v>
      </c>
      <c r="M804" t="s">
        <v>171</v>
      </c>
      <c r="N804" t="s">
        <v>31</v>
      </c>
      <c r="O804" t="s">
        <v>23</v>
      </c>
    </row>
    <row r="805" spans="1:15" x14ac:dyDescent="0.3">
      <c r="A805" s="2" t="s">
        <v>688</v>
      </c>
      <c r="B805" s="2">
        <v>45807</v>
      </c>
      <c r="C805" t="s">
        <v>266</v>
      </c>
      <c r="D805" t="s">
        <v>47</v>
      </c>
      <c r="E805" t="s">
        <v>74</v>
      </c>
      <c r="F805" t="s">
        <v>74</v>
      </c>
      <c r="G805" s="6">
        <v>2</v>
      </c>
      <c r="H805" s="3">
        <v>33840</v>
      </c>
      <c r="I805" s="5">
        <v>0.06</v>
      </c>
      <c r="J805" s="4">
        <v>1807.29</v>
      </c>
      <c r="K805" t="s">
        <v>52</v>
      </c>
      <c r="L805" t="s">
        <v>97</v>
      </c>
      <c r="M805" t="s">
        <v>163</v>
      </c>
      <c r="N805" t="s">
        <v>31</v>
      </c>
      <c r="O805" t="s">
        <v>44</v>
      </c>
    </row>
    <row r="806" spans="1:15" x14ac:dyDescent="0.3">
      <c r="A806" s="2" t="s">
        <v>636</v>
      </c>
      <c r="B806" s="2">
        <v>45790</v>
      </c>
      <c r="C806" t="s">
        <v>89</v>
      </c>
      <c r="D806" t="s">
        <v>47</v>
      </c>
      <c r="E806" t="s">
        <v>368</v>
      </c>
      <c r="F806" t="s">
        <v>368</v>
      </c>
      <c r="G806" s="6">
        <v>1</v>
      </c>
      <c r="H806" s="3">
        <v>1584</v>
      </c>
      <c r="I806" s="5">
        <v>0.12</v>
      </c>
      <c r="J806" s="4">
        <v>146.41</v>
      </c>
      <c r="K806" t="s">
        <v>28</v>
      </c>
      <c r="L806" t="s">
        <v>36</v>
      </c>
      <c r="M806" t="s">
        <v>101</v>
      </c>
      <c r="N806" t="s">
        <v>38</v>
      </c>
      <c r="O806" t="s">
        <v>23</v>
      </c>
    </row>
    <row r="807" spans="1:15" x14ac:dyDescent="0.3">
      <c r="A807" s="2" t="s">
        <v>629</v>
      </c>
      <c r="B807" s="2">
        <v>45788</v>
      </c>
      <c r="C807" t="s">
        <v>299</v>
      </c>
      <c r="D807" t="s">
        <v>17</v>
      </c>
      <c r="E807" t="s">
        <v>85</v>
      </c>
      <c r="F807" t="s">
        <v>85</v>
      </c>
      <c r="G807" s="6">
        <v>5</v>
      </c>
      <c r="H807" s="3">
        <v>30375</v>
      </c>
      <c r="I807" s="5">
        <v>0.19</v>
      </c>
      <c r="J807" s="4">
        <v>3084.51</v>
      </c>
      <c r="K807" t="s">
        <v>52</v>
      </c>
      <c r="L807" t="s">
        <v>121</v>
      </c>
      <c r="M807" t="s">
        <v>122</v>
      </c>
      <c r="N807" t="s">
        <v>55</v>
      </c>
      <c r="O807" t="s">
        <v>23</v>
      </c>
    </row>
    <row r="808" spans="1:15" x14ac:dyDescent="0.3">
      <c r="A808" s="2" t="s">
        <v>866</v>
      </c>
      <c r="B808" s="2">
        <v>45866</v>
      </c>
      <c r="C808" t="s">
        <v>402</v>
      </c>
      <c r="D808" t="s">
        <v>68</v>
      </c>
      <c r="E808" t="s">
        <v>69</v>
      </c>
      <c r="F808" t="s">
        <v>69</v>
      </c>
      <c r="G808" s="6">
        <v>1</v>
      </c>
      <c r="H808" s="3">
        <v>365</v>
      </c>
      <c r="I808" s="5">
        <v>0.27</v>
      </c>
      <c r="J808" s="4">
        <v>69.099999999999994</v>
      </c>
      <c r="K808" t="s">
        <v>28</v>
      </c>
      <c r="L808" t="s">
        <v>20</v>
      </c>
      <c r="M808" t="s">
        <v>21</v>
      </c>
      <c r="N808" t="s">
        <v>22</v>
      </c>
      <c r="O808" t="s">
        <v>44</v>
      </c>
    </row>
    <row r="809" spans="1:15" x14ac:dyDescent="0.3">
      <c r="A809" s="2" t="s">
        <v>698</v>
      </c>
      <c r="B809" s="2">
        <v>45809</v>
      </c>
      <c r="C809" t="s">
        <v>165</v>
      </c>
      <c r="D809" t="s">
        <v>68</v>
      </c>
      <c r="E809" t="s">
        <v>69</v>
      </c>
      <c r="F809" t="s">
        <v>69</v>
      </c>
      <c r="G809" s="6">
        <v>1</v>
      </c>
      <c r="H809" s="3">
        <v>400</v>
      </c>
      <c r="I809" s="5">
        <v>0.2</v>
      </c>
      <c r="J809" s="4">
        <v>89.52</v>
      </c>
      <c r="K809" t="s">
        <v>19</v>
      </c>
      <c r="L809" t="s">
        <v>86</v>
      </c>
      <c r="M809" t="s">
        <v>87</v>
      </c>
      <c r="N809" t="s">
        <v>38</v>
      </c>
      <c r="O809" t="s">
        <v>44</v>
      </c>
    </row>
    <row r="810" spans="1:15" x14ac:dyDescent="0.3">
      <c r="A810" s="2" t="s">
        <v>503</v>
      </c>
      <c r="B810" s="2">
        <v>45751</v>
      </c>
      <c r="C810" t="s">
        <v>247</v>
      </c>
      <c r="D810" t="s">
        <v>68</v>
      </c>
      <c r="E810" t="s">
        <v>153</v>
      </c>
      <c r="F810" t="s">
        <v>153</v>
      </c>
      <c r="G810" s="6">
        <v>2</v>
      </c>
      <c r="H810" s="3">
        <v>1920</v>
      </c>
      <c r="I810" s="5">
        <v>0.2</v>
      </c>
      <c r="J810" s="4">
        <v>290.5</v>
      </c>
      <c r="K810" t="s">
        <v>52</v>
      </c>
      <c r="L810" t="s">
        <v>97</v>
      </c>
      <c r="M810" t="s">
        <v>98</v>
      </c>
      <c r="N810" t="s">
        <v>31</v>
      </c>
      <c r="O810" t="s">
        <v>23</v>
      </c>
    </row>
    <row r="811" spans="1:15" x14ac:dyDescent="0.3">
      <c r="A811" s="2" t="s">
        <v>1268</v>
      </c>
      <c r="B811" s="2">
        <v>46009</v>
      </c>
      <c r="C811" t="s">
        <v>207</v>
      </c>
      <c r="D811" t="s">
        <v>17</v>
      </c>
      <c r="E811" t="s">
        <v>18</v>
      </c>
      <c r="F811" t="s">
        <v>18</v>
      </c>
      <c r="G811" s="6">
        <v>1</v>
      </c>
      <c r="H811" s="3">
        <v>24600</v>
      </c>
      <c r="I811" s="5">
        <v>0.18</v>
      </c>
      <c r="J811" s="4">
        <v>1540.72</v>
      </c>
      <c r="K811" t="s">
        <v>28</v>
      </c>
      <c r="L811" t="s">
        <v>149</v>
      </c>
      <c r="M811" t="s">
        <v>175</v>
      </c>
      <c r="N811" t="s">
        <v>38</v>
      </c>
      <c r="O811" t="s">
        <v>44</v>
      </c>
    </row>
    <row r="812" spans="1:15" x14ac:dyDescent="0.3">
      <c r="A812" s="2" t="s">
        <v>1057</v>
      </c>
      <c r="B812" s="2">
        <v>45936</v>
      </c>
      <c r="C812" t="s">
        <v>235</v>
      </c>
      <c r="D812" t="s">
        <v>17</v>
      </c>
      <c r="E812" t="s">
        <v>85</v>
      </c>
      <c r="F812" t="s">
        <v>85</v>
      </c>
      <c r="G812" s="6">
        <v>2</v>
      </c>
      <c r="H812" s="3">
        <v>11850</v>
      </c>
      <c r="I812" s="5">
        <v>0.21</v>
      </c>
      <c r="J812" s="4">
        <v>1512.8</v>
      </c>
      <c r="K812" t="s">
        <v>19</v>
      </c>
      <c r="L812" t="s">
        <v>36</v>
      </c>
      <c r="M812" t="s">
        <v>37</v>
      </c>
      <c r="N812" t="s">
        <v>38</v>
      </c>
      <c r="O812" t="s">
        <v>44</v>
      </c>
    </row>
    <row r="813" spans="1:15" x14ac:dyDescent="0.3">
      <c r="A813" s="2" t="s">
        <v>759</v>
      </c>
      <c r="B813" s="2">
        <v>45829</v>
      </c>
      <c r="C813" t="s">
        <v>343</v>
      </c>
      <c r="D813" t="s">
        <v>34</v>
      </c>
      <c r="E813" t="s">
        <v>227</v>
      </c>
      <c r="F813" t="s">
        <v>227</v>
      </c>
      <c r="G813" s="6">
        <v>3</v>
      </c>
      <c r="H813" s="3">
        <v>18525</v>
      </c>
      <c r="I813" s="5">
        <v>0.05</v>
      </c>
      <c r="J813" s="4">
        <v>1939.6</v>
      </c>
      <c r="K813" t="s">
        <v>75</v>
      </c>
      <c r="L813" t="s">
        <v>170</v>
      </c>
      <c r="M813" t="s">
        <v>171</v>
      </c>
      <c r="N813" t="s">
        <v>31</v>
      </c>
      <c r="O813" t="s">
        <v>23</v>
      </c>
    </row>
    <row r="814" spans="1:15" x14ac:dyDescent="0.3">
      <c r="A814" s="2" t="s">
        <v>890</v>
      </c>
      <c r="B814" s="2">
        <v>45872</v>
      </c>
      <c r="C814" t="s">
        <v>242</v>
      </c>
      <c r="D814" t="s">
        <v>47</v>
      </c>
      <c r="E814" t="s">
        <v>214</v>
      </c>
      <c r="F814" t="s">
        <v>214</v>
      </c>
      <c r="G814" s="6">
        <v>3</v>
      </c>
      <c r="H814" s="3">
        <v>2349</v>
      </c>
      <c r="I814" s="5">
        <v>0.13</v>
      </c>
      <c r="J814" s="4">
        <v>363.71</v>
      </c>
      <c r="K814" t="s">
        <v>28</v>
      </c>
      <c r="L814" t="s">
        <v>97</v>
      </c>
      <c r="M814" t="s">
        <v>163</v>
      </c>
      <c r="N814" t="s">
        <v>31</v>
      </c>
      <c r="O814" t="s">
        <v>44</v>
      </c>
    </row>
    <row r="815" spans="1:15" x14ac:dyDescent="0.3">
      <c r="A815" s="2" t="s">
        <v>1254</v>
      </c>
      <c r="B815" s="2">
        <v>46003</v>
      </c>
      <c r="C815" t="s">
        <v>667</v>
      </c>
      <c r="D815" t="s">
        <v>34</v>
      </c>
      <c r="E815" t="s">
        <v>41</v>
      </c>
      <c r="F815" t="s">
        <v>41</v>
      </c>
      <c r="G815" s="6">
        <v>3</v>
      </c>
      <c r="H815" s="3">
        <v>12450</v>
      </c>
      <c r="I815" s="5">
        <v>0.17</v>
      </c>
      <c r="J815" s="4">
        <v>1517.67</v>
      </c>
      <c r="K815" t="s">
        <v>28</v>
      </c>
      <c r="L815" t="s">
        <v>70</v>
      </c>
      <c r="M815" t="s">
        <v>71</v>
      </c>
      <c r="N815" t="s">
        <v>55</v>
      </c>
      <c r="O815" t="s">
        <v>23</v>
      </c>
    </row>
    <row r="816" spans="1:15" x14ac:dyDescent="0.3">
      <c r="A816" s="2" t="s">
        <v>697</v>
      </c>
      <c r="B816" s="2">
        <v>45809</v>
      </c>
      <c r="C816" t="s">
        <v>551</v>
      </c>
      <c r="D816" t="s">
        <v>26</v>
      </c>
      <c r="E816" t="s">
        <v>188</v>
      </c>
      <c r="F816" t="s">
        <v>188</v>
      </c>
      <c r="G816" s="6">
        <v>2</v>
      </c>
      <c r="H816" s="3">
        <v>5100</v>
      </c>
      <c r="I816" s="5">
        <v>0.15</v>
      </c>
      <c r="J816" s="4">
        <v>783.62</v>
      </c>
      <c r="K816" t="s">
        <v>65</v>
      </c>
      <c r="L816" t="s">
        <v>208</v>
      </c>
      <c r="M816" t="s">
        <v>209</v>
      </c>
      <c r="N816" t="s">
        <v>31</v>
      </c>
      <c r="O816" t="s">
        <v>23</v>
      </c>
    </row>
    <row r="817" spans="1:15" x14ac:dyDescent="0.3">
      <c r="A817" s="2" t="s">
        <v>1266</v>
      </c>
      <c r="B817" s="2">
        <v>46008</v>
      </c>
      <c r="C817" t="s">
        <v>748</v>
      </c>
      <c r="D817" t="s">
        <v>17</v>
      </c>
      <c r="E817" t="s">
        <v>110</v>
      </c>
      <c r="F817" t="s">
        <v>110</v>
      </c>
      <c r="G817" s="6">
        <v>2</v>
      </c>
      <c r="H817" s="3">
        <v>10790</v>
      </c>
      <c r="I817" s="5">
        <v>0.17</v>
      </c>
      <c r="J817" s="4">
        <v>1220.17</v>
      </c>
      <c r="K817" t="s">
        <v>65</v>
      </c>
      <c r="L817" t="s">
        <v>170</v>
      </c>
      <c r="M817" t="s">
        <v>171</v>
      </c>
      <c r="N817" t="s">
        <v>31</v>
      </c>
      <c r="O817" t="s">
        <v>23</v>
      </c>
    </row>
    <row r="818" spans="1:15" x14ac:dyDescent="0.3">
      <c r="A818" s="2" t="s">
        <v>1202</v>
      </c>
      <c r="B818" s="2">
        <v>45987</v>
      </c>
      <c r="C818" t="s">
        <v>918</v>
      </c>
      <c r="D818" t="s">
        <v>34</v>
      </c>
      <c r="E818" t="s">
        <v>35</v>
      </c>
      <c r="F818" t="s">
        <v>35</v>
      </c>
      <c r="G818" s="6">
        <v>3</v>
      </c>
      <c r="H818" s="3">
        <v>2988</v>
      </c>
      <c r="I818" s="5">
        <v>0.17</v>
      </c>
      <c r="J818" s="4">
        <v>580.44000000000005</v>
      </c>
      <c r="K818" t="s">
        <v>49</v>
      </c>
      <c r="L818" t="s">
        <v>149</v>
      </c>
      <c r="M818" t="s">
        <v>175</v>
      </c>
      <c r="N818" t="s">
        <v>38</v>
      </c>
      <c r="O818" t="s">
        <v>23</v>
      </c>
    </row>
    <row r="819" spans="1:15" x14ac:dyDescent="0.3">
      <c r="A819" s="2" t="s">
        <v>1143</v>
      </c>
      <c r="B819" s="2">
        <v>45965</v>
      </c>
      <c r="C819" t="s">
        <v>523</v>
      </c>
      <c r="D819" t="s">
        <v>68</v>
      </c>
      <c r="E819" t="s">
        <v>153</v>
      </c>
      <c r="F819" t="s">
        <v>153</v>
      </c>
      <c r="G819" s="6">
        <v>3</v>
      </c>
      <c r="H819" s="3">
        <v>3096</v>
      </c>
      <c r="I819" s="5">
        <v>0.14000000000000001</v>
      </c>
      <c r="J819" s="4">
        <v>494.92</v>
      </c>
      <c r="K819" t="s">
        <v>75</v>
      </c>
      <c r="L819" t="s">
        <v>29</v>
      </c>
      <c r="M819" t="s">
        <v>30</v>
      </c>
      <c r="N819" t="s">
        <v>31</v>
      </c>
      <c r="O819" t="s">
        <v>23</v>
      </c>
    </row>
    <row r="820" spans="1:15" x14ac:dyDescent="0.3">
      <c r="A820" s="2" t="s">
        <v>1119</v>
      </c>
      <c r="B820" s="2">
        <v>45957</v>
      </c>
      <c r="C820" t="s">
        <v>162</v>
      </c>
      <c r="D820" t="s">
        <v>26</v>
      </c>
      <c r="E820" t="s">
        <v>27</v>
      </c>
      <c r="F820" t="s">
        <v>27</v>
      </c>
      <c r="G820" s="6">
        <v>3</v>
      </c>
      <c r="H820" s="3">
        <v>3486</v>
      </c>
      <c r="I820" s="5">
        <v>0.17</v>
      </c>
      <c r="J820" s="4">
        <v>676.09</v>
      </c>
      <c r="K820" t="s">
        <v>19</v>
      </c>
      <c r="L820" t="s">
        <v>36</v>
      </c>
      <c r="M820" t="s">
        <v>128</v>
      </c>
      <c r="N820" t="s">
        <v>38</v>
      </c>
      <c r="O820" t="s">
        <v>44</v>
      </c>
    </row>
    <row r="821" spans="1:15" x14ac:dyDescent="0.3">
      <c r="A821" s="2" t="s">
        <v>1195</v>
      </c>
      <c r="B821" s="2">
        <v>45984</v>
      </c>
      <c r="C821" t="s">
        <v>661</v>
      </c>
      <c r="D821" t="s">
        <v>58</v>
      </c>
      <c r="E821" t="s">
        <v>59</v>
      </c>
      <c r="F821" t="s">
        <v>59</v>
      </c>
      <c r="G821" s="6">
        <v>3</v>
      </c>
      <c r="H821" s="3">
        <v>1120.5</v>
      </c>
      <c r="I821" s="5">
        <v>0.17</v>
      </c>
      <c r="J821" s="4">
        <v>215.04</v>
      </c>
      <c r="K821" t="s">
        <v>49</v>
      </c>
      <c r="L821" t="s">
        <v>97</v>
      </c>
      <c r="M821" t="s">
        <v>163</v>
      </c>
      <c r="N821" t="s">
        <v>31</v>
      </c>
      <c r="O821" t="s">
        <v>44</v>
      </c>
    </row>
    <row r="822" spans="1:15" x14ac:dyDescent="0.3">
      <c r="A822" s="2" t="s">
        <v>1088</v>
      </c>
      <c r="B822" s="2">
        <v>45944</v>
      </c>
      <c r="C822" t="s">
        <v>273</v>
      </c>
      <c r="D822" t="s">
        <v>47</v>
      </c>
      <c r="E822" t="s">
        <v>368</v>
      </c>
      <c r="F822" t="s">
        <v>368</v>
      </c>
      <c r="G822" s="6">
        <v>4</v>
      </c>
      <c r="H822" s="3">
        <v>5976</v>
      </c>
      <c r="I822" s="5">
        <v>0.17</v>
      </c>
      <c r="J822" s="4">
        <v>706.65</v>
      </c>
      <c r="K822" t="s">
        <v>75</v>
      </c>
      <c r="L822" t="s">
        <v>86</v>
      </c>
      <c r="M822" t="s">
        <v>87</v>
      </c>
      <c r="N822" t="s">
        <v>38</v>
      </c>
      <c r="O822" t="s">
        <v>44</v>
      </c>
    </row>
    <row r="823" spans="1:15" x14ac:dyDescent="0.3">
      <c r="A823" s="2" t="s">
        <v>510</v>
      </c>
      <c r="B823" s="2">
        <v>45753</v>
      </c>
      <c r="C823" t="s">
        <v>100</v>
      </c>
      <c r="D823" t="s">
        <v>47</v>
      </c>
      <c r="E823" t="s">
        <v>82</v>
      </c>
      <c r="F823" t="s">
        <v>82</v>
      </c>
      <c r="G823" s="6">
        <v>2</v>
      </c>
      <c r="H823" s="3">
        <v>5670</v>
      </c>
      <c r="I823" s="5">
        <v>0.19</v>
      </c>
      <c r="J823" s="4">
        <v>762.88</v>
      </c>
      <c r="K823" t="s">
        <v>65</v>
      </c>
      <c r="L823" t="s">
        <v>36</v>
      </c>
      <c r="M823" t="s">
        <v>128</v>
      </c>
      <c r="N823" t="s">
        <v>38</v>
      </c>
      <c r="O823" t="s">
        <v>23</v>
      </c>
    </row>
    <row r="824" spans="1:15" x14ac:dyDescent="0.3">
      <c r="A824" s="2" t="s">
        <v>550</v>
      </c>
      <c r="B824" s="2">
        <v>45764</v>
      </c>
      <c r="C824" t="s">
        <v>551</v>
      </c>
      <c r="D824" t="s">
        <v>34</v>
      </c>
      <c r="E824" t="s">
        <v>107</v>
      </c>
      <c r="F824" t="s">
        <v>107</v>
      </c>
      <c r="G824" s="6">
        <v>2</v>
      </c>
      <c r="H824" s="3">
        <v>7470</v>
      </c>
      <c r="I824" s="5">
        <v>0.17</v>
      </c>
      <c r="J824" s="4">
        <v>645.6</v>
      </c>
      <c r="K824" t="s">
        <v>19</v>
      </c>
      <c r="L824" t="s">
        <v>36</v>
      </c>
      <c r="M824" t="s">
        <v>37</v>
      </c>
      <c r="N824" t="s">
        <v>38</v>
      </c>
      <c r="O824" t="s">
        <v>23</v>
      </c>
    </row>
    <row r="825" spans="1:15" x14ac:dyDescent="0.3">
      <c r="A825" s="2" t="s">
        <v>421</v>
      </c>
      <c r="B825" s="2">
        <v>45730</v>
      </c>
      <c r="C825" t="s">
        <v>422</v>
      </c>
      <c r="D825" t="s">
        <v>95</v>
      </c>
      <c r="E825" t="s">
        <v>125</v>
      </c>
      <c r="F825" t="s">
        <v>125</v>
      </c>
      <c r="G825" s="6">
        <v>2</v>
      </c>
      <c r="H825" s="3">
        <v>3024</v>
      </c>
      <c r="I825" s="5">
        <v>0.16</v>
      </c>
      <c r="J825" s="4">
        <v>538.89</v>
      </c>
      <c r="K825" t="s">
        <v>49</v>
      </c>
      <c r="L825" t="s">
        <v>20</v>
      </c>
      <c r="M825" t="s">
        <v>21</v>
      </c>
      <c r="N825" t="s">
        <v>22</v>
      </c>
      <c r="O825" t="s">
        <v>23</v>
      </c>
    </row>
    <row r="826" spans="1:15" x14ac:dyDescent="0.3">
      <c r="A826" s="2" t="s">
        <v>683</v>
      </c>
      <c r="B826" s="2">
        <v>45806</v>
      </c>
      <c r="C826" t="s">
        <v>255</v>
      </c>
      <c r="D826" t="s">
        <v>58</v>
      </c>
      <c r="E826" t="s">
        <v>178</v>
      </c>
      <c r="F826" t="s">
        <v>178</v>
      </c>
      <c r="G826" s="6">
        <v>5</v>
      </c>
      <c r="H826" s="3">
        <v>2665</v>
      </c>
      <c r="I826" s="5">
        <v>0.18</v>
      </c>
      <c r="J826" s="4">
        <v>391.59</v>
      </c>
      <c r="K826" t="s">
        <v>75</v>
      </c>
      <c r="L826" t="s">
        <v>78</v>
      </c>
      <c r="M826" t="s">
        <v>79</v>
      </c>
      <c r="N826" t="s">
        <v>22</v>
      </c>
      <c r="O826" t="s">
        <v>23</v>
      </c>
    </row>
    <row r="827" spans="1:15" x14ac:dyDescent="0.3">
      <c r="A827" s="2" t="s">
        <v>1043</v>
      </c>
      <c r="B827" s="2">
        <v>45930</v>
      </c>
      <c r="C827" t="s">
        <v>16</v>
      </c>
      <c r="D827" t="s">
        <v>47</v>
      </c>
      <c r="E827" t="s">
        <v>240</v>
      </c>
      <c r="F827" t="s">
        <v>240</v>
      </c>
      <c r="G827" s="6">
        <v>2</v>
      </c>
      <c r="H827" s="3">
        <v>4550</v>
      </c>
      <c r="I827" s="5">
        <v>0.09</v>
      </c>
      <c r="J827" s="4">
        <v>788.73</v>
      </c>
      <c r="K827" t="s">
        <v>19</v>
      </c>
      <c r="L827" t="s">
        <v>134</v>
      </c>
      <c r="M827" t="s">
        <v>135</v>
      </c>
      <c r="N827" t="s">
        <v>55</v>
      </c>
      <c r="O827" t="s">
        <v>23</v>
      </c>
    </row>
    <row r="828" spans="1:15" x14ac:dyDescent="0.3">
      <c r="A828" s="2" t="s">
        <v>217</v>
      </c>
      <c r="B828" s="2">
        <v>45684</v>
      </c>
      <c r="C828" t="s">
        <v>218</v>
      </c>
      <c r="D828" t="s">
        <v>26</v>
      </c>
      <c r="E828" t="s">
        <v>133</v>
      </c>
      <c r="F828" t="s">
        <v>133</v>
      </c>
      <c r="G828" s="6">
        <v>1</v>
      </c>
      <c r="H828" s="3">
        <v>2380</v>
      </c>
      <c r="I828" s="5">
        <v>0.15</v>
      </c>
      <c r="J828" s="4">
        <v>405.8</v>
      </c>
      <c r="K828" t="s">
        <v>49</v>
      </c>
      <c r="L828" t="s">
        <v>29</v>
      </c>
      <c r="M828" t="s">
        <v>30</v>
      </c>
      <c r="N828" t="s">
        <v>31</v>
      </c>
      <c r="O828" t="s">
        <v>23</v>
      </c>
    </row>
    <row r="829" spans="1:15" x14ac:dyDescent="0.3">
      <c r="A829" s="2" t="s">
        <v>1137</v>
      </c>
      <c r="B829" s="2">
        <v>45964</v>
      </c>
      <c r="C829" t="s">
        <v>57</v>
      </c>
      <c r="D829" t="s">
        <v>34</v>
      </c>
      <c r="E829" t="s">
        <v>107</v>
      </c>
      <c r="F829" t="s">
        <v>107</v>
      </c>
      <c r="G829" s="6">
        <v>3</v>
      </c>
      <c r="H829" s="3">
        <v>11205</v>
      </c>
      <c r="I829" s="5">
        <v>0.17</v>
      </c>
      <c r="J829" s="4">
        <v>1202.6300000000001</v>
      </c>
      <c r="K829" t="s">
        <v>75</v>
      </c>
      <c r="L829" t="s">
        <v>70</v>
      </c>
      <c r="M829" t="s">
        <v>71</v>
      </c>
      <c r="N829" t="s">
        <v>55</v>
      </c>
      <c r="O829" t="s">
        <v>23</v>
      </c>
    </row>
    <row r="830" spans="1:15" x14ac:dyDescent="0.3">
      <c r="A830" s="2" t="s">
        <v>751</v>
      </c>
      <c r="B830" s="2">
        <v>45826</v>
      </c>
      <c r="C830" t="s">
        <v>94</v>
      </c>
      <c r="D830" t="s">
        <v>34</v>
      </c>
      <c r="E830" t="s">
        <v>143</v>
      </c>
      <c r="F830" t="s">
        <v>143</v>
      </c>
      <c r="G830" s="6">
        <v>2</v>
      </c>
      <c r="H830" s="3">
        <v>1312</v>
      </c>
      <c r="I830" s="5">
        <v>0.18</v>
      </c>
      <c r="J830" s="4">
        <v>187.16</v>
      </c>
      <c r="K830" t="s">
        <v>75</v>
      </c>
      <c r="L830" t="s">
        <v>86</v>
      </c>
      <c r="M830" t="s">
        <v>87</v>
      </c>
      <c r="N830" t="s">
        <v>38</v>
      </c>
      <c r="O830" t="s">
        <v>23</v>
      </c>
    </row>
    <row r="831" spans="1:15" x14ac:dyDescent="0.3">
      <c r="A831" s="2" t="s">
        <v>66</v>
      </c>
      <c r="B831" s="2">
        <v>45663</v>
      </c>
      <c r="C831" t="s">
        <v>67</v>
      </c>
      <c r="D831" t="s">
        <v>68</v>
      </c>
      <c r="E831" t="s">
        <v>69</v>
      </c>
      <c r="F831" t="s">
        <v>69</v>
      </c>
      <c r="G831" s="6">
        <v>2</v>
      </c>
      <c r="H831" s="3">
        <v>750</v>
      </c>
      <c r="I831" s="5">
        <v>0.25</v>
      </c>
      <c r="J831" s="4">
        <v>152.62</v>
      </c>
      <c r="K831" t="s">
        <v>52</v>
      </c>
      <c r="L831" t="s">
        <v>70</v>
      </c>
      <c r="M831" t="s">
        <v>71</v>
      </c>
      <c r="N831" t="s">
        <v>55</v>
      </c>
      <c r="O831" t="s">
        <v>23</v>
      </c>
    </row>
    <row r="832" spans="1:15" x14ac:dyDescent="0.3">
      <c r="A832" s="2" t="s">
        <v>1241</v>
      </c>
      <c r="B832" s="2">
        <v>45999</v>
      </c>
      <c r="C832" t="s">
        <v>773</v>
      </c>
      <c r="D832" t="s">
        <v>58</v>
      </c>
      <c r="E832" t="s">
        <v>77</v>
      </c>
      <c r="F832" t="s">
        <v>77</v>
      </c>
      <c r="G832" s="6">
        <v>3</v>
      </c>
      <c r="H832" s="3">
        <v>4482</v>
      </c>
      <c r="I832" s="5">
        <v>0.17</v>
      </c>
      <c r="J832" s="4">
        <v>978.17</v>
      </c>
      <c r="K832" t="s">
        <v>19</v>
      </c>
      <c r="L832" t="s">
        <v>134</v>
      </c>
      <c r="M832" t="s">
        <v>135</v>
      </c>
      <c r="N832" t="s">
        <v>55</v>
      </c>
      <c r="O832" t="s">
        <v>23</v>
      </c>
    </row>
    <row r="833" spans="1:15" x14ac:dyDescent="0.3">
      <c r="A833" s="2" t="s">
        <v>1261</v>
      </c>
      <c r="B833" s="2">
        <v>46006</v>
      </c>
      <c r="C833" t="s">
        <v>89</v>
      </c>
      <c r="D833" t="s">
        <v>17</v>
      </c>
      <c r="E833" t="s">
        <v>110</v>
      </c>
      <c r="F833" t="s">
        <v>110</v>
      </c>
      <c r="G833" s="6">
        <v>4</v>
      </c>
      <c r="H833" s="3">
        <v>22100</v>
      </c>
      <c r="I833" s="5">
        <v>0.15</v>
      </c>
      <c r="J833" s="4">
        <v>3119.3</v>
      </c>
      <c r="K833" t="s">
        <v>19</v>
      </c>
      <c r="L833" t="s">
        <v>36</v>
      </c>
      <c r="M833" t="s">
        <v>101</v>
      </c>
      <c r="N833" t="s">
        <v>38</v>
      </c>
      <c r="O833" t="s">
        <v>23</v>
      </c>
    </row>
    <row r="834" spans="1:15" x14ac:dyDescent="0.3">
      <c r="A834" s="2" t="s">
        <v>200</v>
      </c>
      <c r="B834" s="2">
        <v>45681</v>
      </c>
      <c r="C834" t="s">
        <v>201</v>
      </c>
      <c r="D834" t="s">
        <v>17</v>
      </c>
      <c r="E834" t="s">
        <v>18</v>
      </c>
      <c r="F834" t="s">
        <v>18</v>
      </c>
      <c r="G834" s="6">
        <v>3</v>
      </c>
      <c r="H834" s="3">
        <v>67500</v>
      </c>
      <c r="I834" s="5">
        <v>0.25</v>
      </c>
      <c r="J834" s="4">
        <v>7468.92</v>
      </c>
      <c r="K834" t="s">
        <v>19</v>
      </c>
      <c r="L834" t="s">
        <v>149</v>
      </c>
      <c r="M834" t="s">
        <v>175</v>
      </c>
      <c r="N834" t="s">
        <v>38</v>
      </c>
      <c r="O834" t="s">
        <v>44</v>
      </c>
    </row>
    <row r="835" spans="1:15" x14ac:dyDescent="0.3">
      <c r="A835" s="2" t="s">
        <v>392</v>
      </c>
      <c r="B835" s="2">
        <v>45722</v>
      </c>
      <c r="C835" t="s">
        <v>114</v>
      </c>
      <c r="D835" t="s">
        <v>47</v>
      </c>
      <c r="E835" t="s">
        <v>240</v>
      </c>
      <c r="F835" t="s">
        <v>240</v>
      </c>
      <c r="G835" s="6">
        <v>4</v>
      </c>
      <c r="H835" s="3">
        <v>8600</v>
      </c>
      <c r="I835" s="5">
        <v>0.14000000000000001</v>
      </c>
      <c r="J835" s="4">
        <v>1286.6199999999999</v>
      </c>
      <c r="K835" t="s">
        <v>75</v>
      </c>
      <c r="L835" t="s">
        <v>97</v>
      </c>
      <c r="M835" t="s">
        <v>98</v>
      </c>
      <c r="N835" t="s">
        <v>31</v>
      </c>
      <c r="O835" t="s">
        <v>44</v>
      </c>
    </row>
    <row r="836" spans="1:15" x14ac:dyDescent="0.3">
      <c r="A836" s="2" t="s">
        <v>352</v>
      </c>
      <c r="B836" s="2">
        <v>45713</v>
      </c>
      <c r="C836" t="s">
        <v>353</v>
      </c>
      <c r="D836" t="s">
        <v>58</v>
      </c>
      <c r="E836" t="s">
        <v>59</v>
      </c>
      <c r="F836" t="s">
        <v>59</v>
      </c>
      <c r="G836" s="6">
        <v>2</v>
      </c>
      <c r="H836" s="3">
        <v>774</v>
      </c>
      <c r="I836" s="5">
        <v>0.14000000000000001</v>
      </c>
      <c r="J836" s="4">
        <v>132.16</v>
      </c>
      <c r="K836" t="s">
        <v>52</v>
      </c>
      <c r="L836" t="s">
        <v>60</v>
      </c>
      <c r="M836" t="s">
        <v>61</v>
      </c>
      <c r="N836" t="s">
        <v>38</v>
      </c>
      <c r="O836" t="s">
        <v>23</v>
      </c>
    </row>
    <row r="837" spans="1:15" x14ac:dyDescent="0.3">
      <c r="A837" s="2" t="s">
        <v>608</v>
      </c>
      <c r="B837" s="2">
        <v>45785</v>
      </c>
      <c r="C837" t="s">
        <v>25</v>
      </c>
      <c r="D837" t="s">
        <v>47</v>
      </c>
      <c r="E837" t="s">
        <v>224</v>
      </c>
      <c r="F837" t="s">
        <v>224</v>
      </c>
      <c r="G837" s="6">
        <v>5</v>
      </c>
      <c r="H837" s="3">
        <v>21750</v>
      </c>
      <c r="I837" s="5">
        <v>0.13</v>
      </c>
      <c r="J837" s="4">
        <v>3008.79</v>
      </c>
      <c r="K837" t="s">
        <v>75</v>
      </c>
      <c r="L837" t="s">
        <v>29</v>
      </c>
      <c r="M837" t="s">
        <v>30</v>
      </c>
      <c r="N837" t="s">
        <v>31</v>
      </c>
      <c r="O837" t="s">
        <v>23</v>
      </c>
    </row>
    <row r="838" spans="1:15" x14ac:dyDescent="0.3">
      <c r="A838" s="2" t="s">
        <v>369</v>
      </c>
      <c r="B838" s="2">
        <v>45717</v>
      </c>
      <c r="C838" t="s">
        <v>370</v>
      </c>
      <c r="D838" t="s">
        <v>17</v>
      </c>
      <c r="E838" t="s">
        <v>158</v>
      </c>
      <c r="F838" t="s">
        <v>158</v>
      </c>
      <c r="G838" s="6">
        <v>1</v>
      </c>
      <c r="H838" s="3">
        <v>18040</v>
      </c>
      <c r="I838" s="5">
        <v>0.18</v>
      </c>
      <c r="J838" s="4">
        <v>2451.1799999999998</v>
      </c>
      <c r="K838" t="s">
        <v>19</v>
      </c>
      <c r="L838" t="s">
        <v>208</v>
      </c>
      <c r="M838" t="s">
        <v>209</v>
      </c>
      <c r="N838" t="s">
        <v>31</v>
      </c>
      <c r="O838" t="s">
        <v>44</v>
      </c>
    </row>
    <row r="839" spans="1:15" x14ac:dyDescent="0.3">
      <c r="A839" s="2" t="s">
        <v>348</v>
      </c>
      <c r="B839" s="2">
        <v>45713</v>
      </c>
      <c r="C839" t="s">
        <v>349</v>
      </c>
      <c r="D839" t="s">
        <v>47</v>
      </c>
      <c r="E839" t="s">
        <v>194</v>
      </c>
      <c r="F839" t="s">
        <v>194</v>
      </c>
      <c r="G839" s="6">
        <v>2</v>
      </c>
      <c r="H839" s="3">
        <v>99000</v>
      </c>
      <c r="I839" s="5">
        <v>0.1</v>
      </c>
      <c r="J839" s="4">
        <v>13220.37</v>
      </c>
      <c r="K839" t="s">
        <v>52</v>
      </c>
      <c r="L839" t="s">
        <v>36</v>
      </c>
      <c r="M839" t="s">
        <v>128</v>
      </c>
      <c r="N839" t="s">
        <v>38</v>
      </c>
      <c r="O839" t="s">
        <v>44</v>
      </c>
    </row>
    <row r="840" spans="1:15" x14ac:dyDescent="0.3">
      <c r="A840" s="2" t="s">
        <v>628</v>
      </c>
      <c r="B840" s="2">
        <v>45788</v>
      </c>
      <c r="C840" t="s">
        <v>169</v>
      </c>
      <c r="D840" t="s">
        <v>34</v>
      </c>
      <c r="E840" t="s">
        <v>143</v>
      </c>
      <c r="F840" t="s">
        <v>143</v>
      </c>
      <c r="G840" s="6">
        <v>1</v>
      </c>
      <c r="H840" s="3">
        <v>664</v>
      </c>
      <c r="I840" s="5">
        <v>0.17</v>
      </c>
      <c r="J840" s="4">
        <v>125.15</v>
      </c>
      <c r="K840" t="s">
        <v>65</v>
      </c>
      <c r="L840" t="s">
        <v>78</v>
      </c>
      <c r="M840" t="s">
        <v>79</v>
      </c>
      <c r="N840" t="s">
        <v>22</v>
      </c>
      <c r="O840" t="s">
        <v>23</v>
      </c>
    </row>
    <row r="841" spans="1:15" x14ac:dyDescent="0.3">
      <c r="A841" s="2" t="s">
        <v>1205</v>
      </c>
      <c r="B841" s="2">
        <v>45989</v>
      </c>
      <c r="C841" t="s">
        <v>441</v>
      </c>
      <c r="D841" t="s">
        <v>34</v>
      </c>
      <c r="E841" t="s">
        <v>35</v>
      </c>
      <c r="F841" t="s">
        <v>35</v>
      </c>
      <c r="G841" s="6">
        <v>1</v>
      </c>
      <c r="H841" s="3">
        <v>1008</v>
      </c>
      <c r="I841" s="5">
        <v>0.16</v>
      </c>
      <c r="J841" s="4">
        <v>192.86</v>
      </c>
      <c r="K841" t="s">
        <v>52</v>
      </c>
      <c r="L841" t="s">
        <v>149</v>
      </c>
      <c r="M841" t="s">
        <v>150</v>
      </c>
      <c r="N841" t="s">
        <v>38</v>
      </c>
      <c r="O841" t="s">
        <v>23</v>
      </c>
    </row>
    <row r="842" spans="1:15" x14ac:dyDescent="0.3">
      <c r="A842" s="2" t="s">
        <v>1037</v>
      </c>
      <c r="B842" s="2">
        <v>45928</v>
      </c>
      <c r="C842" t="s">
        <v>261</v>
      </c>
      <c r="D842" t="s">
        <v>95</v>
      </c>
      <c r="E842" t="s">
        <v>96</v>
      </c>
      <c r="F842" t="s">
        <v>96</v>
      </c>
      <c r="G842" s="6">
        <v>3</v>
      </c>
      <c r="H842" s="3">
        <v>2160</v>
      </c>
      <c r="I842" s="5">
        <v>0.2</v>
      </c>
      <c r="J842" s="4">
        <v>407.46</v>
      </c>
      <c r="K842" t="s">
        <v>52</v>
      </c>
      <c r="L842" t="s">
        <v>36</v>
      </c>
      <c r="M842" t="s">
        <v>37</v>
      </c>
      <c r="N842" t="s">
        <v>38</v>
      </c>
      <c r="O842" t="s">
        <v>44</v>
      </c>
    </row>
    <row r="843" spans="1:15" x14ac:dyDescent="0.3">
      <c r="A843" s="2" t="s">
        <v>487</v>
      </c>
      <c r="B843" s="2">
        <v>45746</v>
      </c>
      <c r="C843" t="s">
        <v>333</v>
      </c>
      <c r="D843" t="s">
        <v>58</v>
      </c>
      <c r="E843" t="s">
        <v>77</v>
      </c>
      <c r="F843" t="s">
        <v>77</v>
      </c>
      <c r="G843" s="6">
        <v>1</v>
      </c>
      <c r="H843" s="3">
        <v>1548</v>
      </c>
      <c r="I843" s="5">
        <v>0.14000000000000001</v>
      </c>
      <c r="J843" s="4">
        <v>270.26</v>
      </c>
      <c r="K843" t="s">
        <v>19</v>
      </c>
      <c r="L843" t="s">
        <v>42</v>
      </c>
      <c r="M843" t="s">
        <v>43</v>
      </c>
      <c r="N843" t="s">
        <v>22</v>
      </c>
      <c r="O843" t="s">
        <v>44</v>
      </c>
    </row>
    <row r="844" spans="1:15" x14ac:dyDescent="0.3">
      <c r="A844" s="2" t="s">
        <v>780</v>
      </c>
      <c r="B844" s="2">
        <v>45838</v>
      </c>
      <c r="C844" t="s">
        <v>92</v>
      </c>
      <c r="D844" t="s">
        <v>26</v>
      </c>
      <c r="E844" t="s">
        <v>64</v>
      </c>
      <c r="F844" t="s">
        <v>64</v>
      </c>
      <c r="G844" s="6">
        <v>5</v>
      </c>
      <c r="H844" s="3">
        <v>3510</v>
      </c>
      <c r="I844" s="5">
        <v>0.22</v>
      </c>
      <c r="J844" s="4">
        <v>600.37</v>
      </c>
      <c r="K844" t="s">
        <v>28</v>
      </c>
      <c r="L844" t="s">
        <v>134</v>
      </c>
      <c r="M844" t="s">
        <v>135</v>
      </c>
      <c r="N844" t="s">
        <v>55</v>
      </c>
      <c r="O844" t="s">
        <v>44</v>
      </c>
    </row>
    <row r="845" spans="1:15" x14ac:dyDescent="0.3">
      <c r="A845" s="2" t="s">
        <v>585</v>
      </c>
      <c r="B845" s="2">
        <v>45774</v>
      </c>
      <c r="C845" t="s">
        <v>378</v>
      </c>
      <c r="D845" t="s">
        <v>58</v>
      </c>
      <c r="E845" t="s">
        <v>178</v>
      </c>
      <c r="F845" t="s">
        <v>178</v>
      </c>
      <c r="G845" s="6">
        <v>2</v>
      </c>
      <c r="H845" s="3">
        <v>1053</v>
      </c>
      <c r="I845" s="5">
        <v>0.19</v>
      </c>
      <c r="J845" s="4">
        <v>165.03</v>
      </c>
      <c r="K845" t="s">
        <v>28</v>
      </c>
      <c r="L845" t="s">
        <v>134</v>
      </c>
      <c r="M845" t="s">
        <v>135</v>
      </c>
      <c r="N845" t="s">
        <v>55</v>
      </c>
      <c r="O845" t="s">
        <v>23</v>
      </c>
    </row>
    <row r="846" spans="1:15" x14ac:dyDescent="0.3">
      <c r="A846" s="2" t="s">
        <v>1179</v>
      </c>
      <c r="B846" s="2">
        <v>45979</v>
      </c>
      <c r="C846" t="s">
        <v>271</v>
      </c>
      <c r="D846" t="s">
        <v>34</v>
      </c>
      <c r="E846" t="s">
        <v>41</v>
      </c>
      <c r="F846" t="s">
        <v>41</v>
      </c>
      <c r="G846" s="6">
        <v>3</v>
      </c>
      <c r="H846" s="3">
        <v>13050</v>
      </c>
      <c r="I846" s="5">
        <v>0.13</v>
      </c>
      <c r="J846" s="4">
        <v>1064.17</v>
      </c>
      <c r="K846" t="s">
        <v>49</v>
      </c>
      <c r="L846" t="s">
        <v>20</v>
      </c>
      <c r="M846" t="s">
        <v>21</v>
      </c>
      <c r="N846" t="s">
        <v>22</v>
      </c>
      <c r="O846" t="s">
        <v>23</v>
      </c>
    </row>
    <row r="847" spans="1:15" x14ac:dyDescent="0.3">
      <c r="A847" s="2" t="s">
        <v>545</v>
      </c>
      <c r="B847" s="2">
        <v>45763</v>
      </c>
      <c r="C847" t="s">
        <v>472</v>
      </c>
      <c r="D847" t="s">
        <v>47</v>
      </c>
      <c r="E847" t="s">
        <v>214</v>
      </c>
      <c r="F847" t="s">
        <v>214</v>
      </c>
      <c r="G847" s="6">
        <v>5</v>
      </c>
      <c r="H847" s="3">
        <v>4005</v>
      </c>
      <c r="I847" s="5">
        <v>0.11</v>
      </c>
      <c r="J847" s="4">
        <v>511.37</v>
      </c>
      <c r="K847" t="s">
        <v>19</v>
      </c>
      <c r="L847" t="s">
        <v>36</v>
      </c>
      <c r="M847" t="s">
        <v>101</v>
      </c>
      <c r="N847" t="s">
        <v>38</v>
      </c>
      <c r="O847" t="s">
        <v>23</v>
      </c>
    </row>
    <row r="848" spans="1:15" x14ac:dyDescent="0.3">
      <c r="A848" s="2" t="s">
        <v>91</v>
      </c>
      <c r="B848" s="2">
        <v>45664</v>
      </c>
      <c r="C848" t="s">
        <v>92</v>
      </c>
      <c r="D848" t="s">
        <v>17</v>
      </c>
      <c r="E848" t="s">
        <v>85</v>
      </c>
      <c r="F848" t="s">
        <v>85</v>
      </c>
      <c r="G848" s="6">
        <v>1</v>
      </c>
      <c r="H848" s="3">
        <v>6450</v>
      </c>
      <c r="I848" s="5">
        <v>0.14000000000000001</v>
      </c>
      <c r="J848" s="4">
        <v>795.73</v>
      </c>
      <c r="K848" t="s">
        <v>28</v>
      </c>
      <c r="L848" t="s">
        <v>53</v>
      </c>
      <c r="M848" t="s">
        <v>54</v>
      </c>
      <c r="N848" t="s">
        <v>55</v>
      </c>
      <c r="O848" t="s">
        <v>23</v>
      </c>
    </row>
    <row r="849" spans="1:15" x14ac:dyDescent="0.3">
      <c r="A849" s="2" t="s">
        <v>846</v>
      </c>
      <c r="B849" s="2">
        <v>45860</v>
      </c>
      <c r="C849" t="s">
        <v>661</v>
      </c>
      <c r="D849" t="s">
        <v>95</v>
      </c>
      <c r="E849" t="s">
        <v>185</v>
      </c>
      <c r="F849" t="s">
        <v>185</v>
      </c>
      <c r="G849" s="6">
        <v>1</v>
      </c>
      <c r="H849" s="3">
        <v>924</v>
      </c>
      <c r="I849" s="5">
        <v>0.23</v>
      </c>
      <c r="J849" s="4">
        <v>127.31</v>
      </c>
      <c r="K849" t="s">
        <v>19</v>
      </c>
      <c r="L849" t="s">
        <v>121</v>
      </c>
      <c r="M849" t="s">
        <v>122</v>
      </c>
      <c r="N849" t="s">
        <v>55</v>
      </c>
      <c r="O849" t="s">
        <v>23</v>
      </c>
    </row>
    <row r="850" spans="1:15" x14ac:dyDescent="0.3">
      <c r="A850" s="2" t="s">
        <v>1229</v>
      </c>
      <c r="B850" s="2">
        <v>45994</v>
      </c>
      <c r="C850" t="s">
        <v>337</v>
      </c>
      <c r="D850" t="s">
        <v>58</v>
      </c>
      <c r="E850" t="s">
        <v>59</v>
      </c>
      <c r="F850" t="s">
        <v>59</v>
      </c>
      <c r="G850" s="6">
        <v>2</v>
      </c>
      <c r="H850" s="3">
        <v>756</v>
      </c>
      <c r="I850" s="5">
        <v>0.16</v>
      </c>
      <c r="J850" s="4">
        <v>156.29</v>
      </c>
      <c r="K850" t="s">
        <v>65</v>
      </c>
      <c r="L850" t="s">
        <v>134</v>
      </c>
      <c r="M850" t="s">
        <v>135</v>
      </c>
      <c r="N850" t="s">
        <v>55</v>
      </c>
      <c r="O850" t="s">
        <v>23</v>
      </c>
    </row>
    <row r="851" spans="1:15" x14ac:dyDescent="0.3">
      <c r="A851" s="2" t="s">
        <v>365</v>
      </c>
      <c r="B851" s="2">
        <v>45716</v>
      </c>
      <c r="C851" t="s">
        <v>366</v>
      </c>
      <c r="D851" t="s">
        <v>68</v>
      </c>
      <c r="E851" t="s">
        <v>69</v>
      </c>
      <c r="F851" t="s">
        <v>69</v>
      </c>
      <c r="G851" s="6">
        <v>1</v>
      </c>
      <c r="H851" s="3">
        <v>405</v>
      </c>
      <c r="I851" s="5">
        <v>0.19</v>
      </c>
      <c r="J851" s="4">
        <v>99.89</v>
      </c>
      <c r="K851" t="s">
        <v>65</v>
      </c>
      <c r="L851" t="s">
        <v>20</v>
      </c>
      <c r="M851" t="s">
        <v>21</v>
      </c>
      <c r="N851" t="s">
        <v>22</v>
      </c>
      <c r="O851" t="s">
        <v>44</v>
      </c>
    </row>
    <row r="852" spans="1:15" x14ac:dyDescent="0.3">
      <c r="A852" s="2" t="s">
        <v>324</v>
      </c>
      <c r="B852" s="2">
        <v>45709</v>
      </c>
      <c r="C852" t="s">
        <v>312</v>
      </c>
      <c r="D852" t="s">
        <v>34</v>
      </c>
      <c r="E852" t="s">
        <v>302</v>
      </c>
      <c r="F852" t="s">
        <v>302</v>
      </c>
      <c r="G852" s="6">
        <v>2</v>
      </c>
      <c r="H852" s="3">
        <v>6090</v>
      </c>
      <c r="I852" s="5">
        <v>0.13</v>
      </c>
      <c r="J852" s="4">
        <v>820.72</v>
      </c>
      <c r="K852" t="s">
        <v>28</v>
      </c>
      <c r="L852" t="s">
        <v>97</v>
      </c>
      <c r="M852" t="s">
        <v>163</v>
      </c>
      <c r="N852" t="s">
        <v>31</v>
      </c>
      <c r="O852" t="s">
        <v>23</v>
      </c>
    </row>
    <row r="853" spans="1:15" x14ac:dyDescent="0.3">
      <c r="A853" s="2" t="s">
        <v>782</v>
      </c>
      <c r="B853" s="2">
        <v>45838</v>
      </c>
      <c r="C853" t="s">
        <v>223</v>
      </c>
      <c r="D853" t="s">
        <v>47</v>
      </c>
      <c r="E853" t="s">
        <v>240</v>
      </c>
      <c r="F853" t="s">
        <v>240</v>
      </c>
      <c r="G853" s="6">
        <v>1</v>
      </c>
      <c r="H853" s="3">
        <v>2100</v>
      </c>
      <c r="I853" s="5">
        <v>0.16</v>
      </c>
      <c r="J853" s="4">
        <v>327.91</v>
      </c>
      <c r="K853" t="s">
        <v>49</v>
      </c>
      <c r="L853" t="s">
        <v>36</v>
      </c>
      <c r="M853" t="s">
        <v>128</v>
      </c>
      <c r="N853" t="s">
        <v>38</v>
      </c>
      <c r="O853" t="s">
        <v>23</v>
      </c>
    </row>
    <row r="854" spans="1:15" x14ac:dyDescent="0.3">
      <c r="A854" s="2" t="s">
        <v>623</v>
      </c>
      <c r="B854" s="2">
        <v>45788</v>
      </c>
      <c r="C854" t="s">
        <v>333</v>
      </c>
      <c r="D854" t="s">
        <v>47</v>
      </c>
      <c r="E854" t="s">
        <v>74</v>
      </c>
      <c r="F854" t="s">
        <v>74</v>
      </c>
      <c r="G854" s="6">
        <v>2</v>
      </c>
      <c r="H854" s="3">
        <v>32760</v>
      </c>
      <c r="I854" s="5">
        <v>0.09</v>
      </c>
      <c r="J854" s="4">
        <v>4832.4399999999996</v>
      </c>
      <c r="K854" t="s">
        <v>49</v>
      </c>
      <c r="L854" t="s">
        <v>53</v>
      </c>
      <c r="M854" t="s">
        <v>54</v>
      </c>
      <c r="N854" t="s">
        <v>55</v>
      </c>
      <c r="O854" t="s">
        <v>44</v>
      </c>
    </row>
    <row r="855" spans="1:15" x14ac:dyDescent="0.3">
      <c r="A855" s="2" t="s">
        <v>1238</v>
      </c>
      <c r="B855" s="2">
        <v>45998</v>
      </c>
      <c r="C855" t="s">
        <v>540</v>
      </c>
      <c r="D855" t="s">
        <v>26</v>
      </c>
      <c r="E855" t="s">
        <v>118</v>
      </c>
      <c r="F855" t="s">
        <v>118</v>
      </c>
      <c r="G855" s="6">
        <v>2</v>
      </c>
      <c r="H855" s="3">
        <v>3060</v>
      </c>
      <c r="I855" s="5">
        <v>0.15</v>
      </c>
      <c r="J855" s="4">
        <v>575.38</v>
      </c>
      <c r="K855" t="s">
        <v>75</v>
      </c>
      <c r="L855" t="s">
        <v>208</v>
      </c>
      <c r="M855" t="s">
        <v>209</v>
      </c>
      <c r="N855" t="s">
        <v>31</v>
      </c>
      <c r="O855" t="s">
        <v>44</v>
      </c>
    </row>
    <row r="856" spans="1:15" x14ac:dyDescent="0.3">
      <c r="A856" s="2" t="s">
        <v>1025</v>
      </c>
      <c r="B856" s="2">
        <v>45924</v>
      </c>
      <c r="C856" t="s">
        <v>517</v>
      </c>
      <c r="D856" t="s">
        <v>58</v>
      </c>
      <c r="E856" t="s">
        <v>138</v>
      </c>
      <c r="F856" t="s">
        <v>138</v>
      </c>
      <c r="G856" s="6">
        <v>3</v>
      </c>
      <c r="H856" s="3">
        <v>5940</v>
      </c>
      <c r="I856" s="5">
        <v>0.1</v>
      </c>
      <c r="J856" s="4">
        <v>1198.73</v>
      </c>
      <c r="K856" t="s">
        <v>19</v>
      </c>
      <c r="L856" t="s">
        <v>159</v>
      </c>
      <c r="M856" t="s">
        <v>160</v>
      </c>
      <c r="N856" t="s">
        <v>38</v>
      </c>
      <c r="O856" t="s">
        <v>44</v>
      </c>
    </row>
    <row r="857" spans="1:15" x14ac:dyDescent="0.3">
      <c r="A857" s="2" t="s">
        <v>664</v>
      </c>
      <c r="B857" s="2">
        <v>45799</v>
      </c>
      <c r="C857" t="s">
        <v>335</v>
      </c>
      <c r="D857" t="s">
        <v>34</v>
      </c>
      <c r="E857" t="s">
        <v>227</v>
      </c>
      <c r="F857" t="s">
        <v>227</v>
      </c>
      <c r="G857" s="6">
        <v>1</v>
      </c>
      <c r="H857" s="3">
        <v>5460</v>
      </c>
      <c r="I857" s="5">
        <v>0.16</v>
      </c>
      <c r="J857" s="4">
        <v>603.22</v>
      </c>
      <c r="K857" t="s">
        <v>19</v>
      </c>
      <c r="L857" t="s">
        <v>159</v>
      </c>
      <c r="M857" t="s">
        <v>160</v>
      </c>
      <c r="N857" t="s">
        <v>38</v>
      </c>
      <c r="O857" t="s">
        <v>44</v>
      </c>
    </row>
    <row r="858" spans="1:15" x14ac:dyDescent="0.3">
      <c r="A858" s="2" t="s">
        <v>836</v>
      </c>
      <c r="B858" s="2">
        <v>45855</v>
      </c>
      <c r="C858" t="s">
        <v>687</v>
      </c>
      <c r="D858" t="s">
        <v>95</v>
      </c>
      <c r="E858" t="s">
        <v>185</v>
      </c>
      <c r="F858" t="s">
        <v>185</v>
      </c>
      <c r="G858" s="6">
        <v>4</v>
      </c>
      <c r="H858" s="3">
        <v>3648</v>
      </c>
      <c r="I858" s="5">
        <v>0.24</v>
      </c>
      <c r="J858" s="4">
        <v>647.89</v>
      </c>
      <c r="K858" t="s">
        <v>75</v>
      </c>
      <c r="L858" t="s">
        <v>86</v>
      </c>
      <c r="M858" t="s">
        <v>87</v>
      </c>
      <c r="N858" t="s">
        <v>38</v>
      </c>
      <c r="O858" t="s">
        <v>23</v>
      </c>
    </row>
    <row r="859" spans="1:15" x14ac:dyDescent="0.3">
      <c r="A859" s="2" t="s">
        <v>796</v>
      </c>
      <c r="B859" s="2">
        <v>45844</v>
      </c>
      <c r="C859" t="s">
        <v>380</v>
      </c>
      <c r="D859" t="s">
        <v>68</v>
      </c>
      <c r="E859" t="s">
        <v>237</v>
      </c>
      <c r="F859" t="s">
        <v>237</v>
      </c>
      <c r="G859" s="6">
        <v>1</v>
      </c>
      <c r="H859" s="3">
        <v>729</v>
      </c>
      <c r="I859" s="5">
        <v>0.19</v>
      </c>
      <c r="J859" s="4">
        <v>78.38</v>
      </c>
      <c r="K859" t="s">
        <v>52</v>
      </c>
      <c r="L859" t="s">
        <v>20</v>
      </c>
      <c r="M859" t="s">
        <v>21</v>
      </c>
      <c r="N859" t="s">
        <v>22</v>
      </c>
      <c r="O859" t="s">
        <v>23</v>
      </c>
    </row>
    <row r="860" spans="1:15" x14ac:dyDescent="0.3">
      <c r="A860" s="2" t="s">
        <v>406</v>
      </c>
      <c r="B860" s="2">
        <v>45726</v>
      </c>
      <c r="C860" t="s">
        <v>280</v>
      </c>
      <c r="D860" t="s">
        <v>47</v>
      </c>
      <c r="E860" t="s">
        <v>74</v>
      </c>
      <c r="F860" t="s">
        <v>74</v>
      </c>
      <c r="G860" s="6">
        <v>3</v>
      </c>
      <c r="H860" s="3">
        <v>49140</v>
      </c>
      <c r="I860" s="5">
        <v>0.09</v>
      </c>
      <c r="J860" s="4">
        <v>4307.72</v>
      </c>
      <c r="K860" t="s">
        <v>28</v>
      </c>
      <c r="L860" t="s">
        <v>53</v>
      </c>
      <c r="M860" t="s">
        <v>54</v>
      </c>
      <c r="N860" t="s">
        <v>55</v>
      </c>
      <c r="O860" t="s">
        <v>44</v>
      </c>
    </row>
    <row r="861" spans="1:15" x14ac:dyDescent="0.3">
      <c r="A861" s="2" t="s">
        <v>602</v>
      </c>
      <c r="B861" s="2">
        <v>45782</v>
      </c>
      <c r="C861" t="s">
        <v>603</v>
      </c>
      <c r="D861" t="s">
        <v>47</v>
      </c>
      <c r="E861" t="s">
        <v>214</v>
      </c>
      <c r="F861" t="s">
        <v>214</v>
      </c>
      <c r="G861" s="6">
        <v>2</v>
      </c>
      <c r="H861" s="3">
        <v>1494</v>
      </c>
      <c r="I861" s="5">
        <v>0.17</v>
      </c>
      <c r="J861" s="4">
        <v>224.34</v>
      </c>
      <c r="K861" t="s">
        <v>19</v>
      </c>
      <c r="L861" t="s">
        <v>149</v>
      </c>
      <c r="M861" t="s">
        <v>175</v>
      </c>
      <c r="N861" t="s">
        <v>38</v>
      </c>
      <c r="O861" t="s">
        <v>23</v>
      </c>
    </row>
    <row r="862" spans="1:15" x14ac:dyDescent="0.3">
      <c r="A862" s="2" t="s">
        <v>270</v>
      </c>
      <c r="B862" s="2">
        <v>45696</v>
      </c>
      <c r="C862" t="s">
        <v>271</v>
      </c>
      <c r="D862" t="s">
        <v>58</v>
      </c>
      <c r="E862" t="s">
        <v>59</v>
      </c>
      <c r="F862" t="s">
        <v>59</v>
      </c>
      <c r="G862" s="6">
        <v>1</v>
      </c>
      <c r="H862" s="3">
        <v>355.5</v>
      </c>
      <c r="I862" s="5">
        <v>0.21</v>
      </c>
      <c r="J862" s="4">
        <v>56.02</v>
      </c>
      <c r="K862" t="s">
        <v>75</v>
      </c>
      <c r="L862" t="s">
        <v>86</v>
      </c>
      <c r="M862" t="s">
        <v>87</v>
      </c>
      <c r="N862" t="s">
        <v>38</v>
      </c>
      <c r="O862" t="s">
        <v>23</v>
      </c>
    </row>
    <row r="863" spans="1:15" x14ac:dyDescent="0.3">
      <c r="A863" s="2" t="s">
        <v>1201</v>
      </c>
      <c r="B863" s="2">
        <v>45986</v>
      </c>
      <c r="C863" t="s">
        <v>192</v>
      </c>
      <c r="D863" t="s">
        <v>47</v>
      </c>
      <c r="E863" t="s">
        <v>74</v>
      </c>
      <c r="F863" t="s">
        <v>74</v>
      </c>
      <c r="G863" s="6">
        <v>1</v>
      </c>
      <c r="H863" s="3">
        <v>15660</v>
      </c>
      <c r="I863" s="5">
        <v>0.13</v>
      </c>
      <c r="J863" s="4">
        <v>2220.42</v>
      </c>
      <c r="K863" t="s">
        <v>75</v>
      </c>
      <c r="L863" t="s">
        <v>121</v>
      </c>
      <c r="M863" t="s">
        <v>122</v>
      </c>
      <c r="N863" t="s">
        <v>55</v>
      </c>
      <c r="O863" t="s">
        <v>23</v>
      </c>
    </row>
    <row r="864" spans="1:15" x14ac:dyDescent="0.3">
      <c r="A864" s="2" t="s">
        <v>967</v>
      </c>
      <c r="B864" s="2">
        <v>45899</v>
      </c>
      <c r="C864" t="s">
        <v>432</v>
      </c>
      <c r="D864" t="s">
        <v>26</v>
      </c>
      <c r="E864" t="s">
        <v>188</v>
      </c>
      <c r="F864" t="s">
        <v>188</v>
      </c>
      <c r="G864" s="6">
        <v>4</v>
      </c>
      <c r="H864" s="3">
        <v>10560</v>
      </c>
      <c r="I864" s="5">
        <v>0.12</v>
      </c>
      <c r="J864" s="4">
        <v>1893.25</v>
      </c>
      <c r="K864" t="s">
        <v>52</v>
      </c>
      <c r="L864" t="s">
        <v>159</v>
      </c>
      <c r="M864" t="s">
        <v>160</v>
      </c>
      <c r="N864" t="s">
        <v>38</v>
      </c>
      <c r="O864" t="s">
        <v>44</v>
      </c>
    </row>
    <row r="865" spans="1:15" x14ac:dyDescent="0.3">
      <c r="A865" s="2" t="s">
        <v>746</v>
      </c>
      <c r="B865" s="2">
        <v>45824</v>
      </c>
      <c r="C865" t="s">
        <v>687</v>
      </c>
      <c r="D865" t="s">
        <v>34</v>
      </c>
      <c r="E865" t="s">
        <v>35</v>
      </c>
      <c r="F865" t="s">
        <v>35</v>
      </c>
      <c r="G865" s="6">
        <v>3</v>
      </c>
      <c r="H865" s="3">
        <v>3168</v>
      </c>
      <c r="I865" s="5">
        <v>0.12</v>
      </c>
      <c r="J865" s="4">
        <v>420.18</v>
      </c>
      <c r="K865" t="s">
        <v>75</v>
      </c>
      <c r="L865" t="s">
        <v>36</v>
      </c>
      <c r="M865" t="s">
        <v>128</v>
      </c>
      <c r="N865" t="s">
        <v>38</v>
      </c>
      <c r="O865" t="s">
        <v>44</v>
      </c>
    </row>
    <row r="866" spans="1:15" x14ac:dyDescent="0.3">
      <c r="A866" s="2" t="s">
        <v>947</v>
      </c>
      <c r="B866" s="2">
        <v>45890</v>
      </c>
      <c r="C866" t="s">
        <v>500</v>
      </c>
      <c r="D866" t="s">
        <v>58</v>
      </c>
      <c r="E866" t="s">
        <v>138</v>
      </c>
      <c r="F866" t="s">
        <v>138</v>
      </c>
      <c r="G866" s="6">
        <v>2</v>
      </c>
      <c r="H866" s="3">
        <v>4004</v>
      </c>
      <c r="I866" s="5">
        <v>0.09</v>
      </c>
      <c r="J866" s="4">
        <v>615.9</v>
      </c>
      <c r="K866" t="s">
        <v>19</v>
      </c>
      <c r="L866" t="s">
        <v>149</v>
      </c>
      <c r="M866" t="s">
        <v>150</v>
      </c>
      <c r="N866" t="s">
        <v>38</v>
      </c>
      <c r="O866" t="s">
        <v>23</v>
      </c>
    </row>
    <row r="867" spans="1:15" x14ac:dyDescent="0.3">
      <c r="A867" s="2" t="s">
        <v>1140</v>
      </c>
      <c r="B867" s="2">
        <v>45964</v>
      </c>
      <c r="C867" t="s">
        <v>130</v>
      </c>
      <c r="D867" t="s">
        <v>34</v>
      </c>
      <c r="E867" t="s">
        <v>302</v>
      </c>
      <c r="F867" t="s">
        <v>302</v>
      </c>
      <c r="G867" s="6">
        <v>5</v>
      </c>
      <c r="H867" s="3">
        <v>14000</v>
      </c>
      <c r="I867" s="5">
        <v>0.2</v>
      </c>
      <c r="J867" s="4">
        <v>2100.67</v>
      </c>
      <c r="K867" t="s">
        <v>28</v>
      </c>
      <c r="L867" t="s">
        <v>134</v>
      </c>
      <c r="M867" t="s">
        <v>135</v>
      </c>
      <c r="N867" t="s">
        <v>55</v>
      </c>
      <c r="O867" t="s">
        <v>23</v>
      </c>
    </row>
    <row r="868" spans="1:15" x14ac:dyDescent="0.3">
      <c r="A868" s="2" t="s">
        <v>1239</v>
      </c>
      <c r="B868" s="2">
        <v>45999</v>
      </c>
      <c r="C868" t="s">
        <v>271</v>
      </c>
      <c r="D868" t="s">
        <v>58</v>
      </c>
      <c r="E868" t="s">
        <v>59</v>
      </c>
      <c r="F868" t="s">
        <v>59</v>
      </c>
      <c r="G868" s="6">
        <v>3</v>
      </c>
      <c r="H868" s="3">
        <v>1080</v>
      </c>
      <c r="I868" s="5">
        <v>0.2</v>
      </c>
      <c r="J868" s="4">
        <v>186.73</v>
      </c>
      <c r="K868" t="s">
        <v>52</v>
      </c>
      <c r="L868" t="s">
        <v>29</v>
      </c>
      <c r="M868" t="s">
        <v>30</v>
      </c>
      <c r="N868" t="s">
        <v>31</v>
      </c>
      <c r="O868" t="s">
        <v>23</v>
      </c>
    </row>
    <row r="869" spans="1:15" x14ac:dyDescent="0.3">
      <c r="A869" s="2" t="s">
        <v>1199</v>
      </c>
      <c r="B869" s="2">
        <v>45985</v>
      </c>
      <c r="C869" t="s">
        <v>663</v>
      </c>
      <c r="D869" t="s">
        <v>95</v>
      </c>
      <c r="E869" t="s">
        <v>125</v>
      </c>
      <c r="F869" t="s">
        <v>125</v>
      </c>
      <c r="G869" s="6">
        <v>4</v>
      </c>
      <c r="H869" s="3">
        <v>5904</v>
      </c>
      <c r="I869" s="5">
        <v>0.18</v>
      </c>
      <c r="J869" s="4">
        <v>567.71</v>
      </c>
      <c r="K869" t="s">
        <v>52</v>
      </c>
      <c r="L869" t="s">
        <v>78</v>
      </c>
      <c r="M869" t="s">
        <v>79</v>
      </c>
      <c r="N869" t="s">
        <v>22</v>
      </c>
      <c r="O869" t="s">
        <v>23</v>
      </c>
    </row>
    <row r="870" spans="1:15" x14ac:dyDescent="0.3">
      <c r="A870" s="2" t="s">
        <v>1259</v>
      </c>
      <c r="B870" s="2">
        <v>46005</v>
      </c>
      <c r="C870" t="s">
        <v>226</v>
      </c>
      <c r="D870" t="s">
        <v>34</v>
      </c>
      <c r="E870" t="s">
        <v>227</v>
      </c>
      <c r="F870" t="s">
        <v>227</v>
      </c>
      <c r="G870" s="6">
        <v>2</v>
      </c>
      <c r="H870" s="3">
        <v>11830</v>
      </c>
      <c r="I870" s="5">
        <v>0.09</v>
      </c>
      <c r="J870" s="4">
        <v>1829.6</v>
      </c>
      <c r="K870" t="s">
        <v>52</v>
      </c>
      <c r="L870" t="s">
        <v>208</v>
      </c>
      <c r="M870" t="s">
        <v>209</v>
      </c>
      <c r="N870" t="s">
        <v>31</v>
      </c>
      <c r="O870" t="s">
        <v>44</v>
      </c>
    </row>
    <row r="871" spans="1:15" x14ac:dyDescent="0.3">
      <c r="A871" s="2" t="s">
        <v>1123</v>
      </c>
      <c r="B871" s="2">
        <v>45958</v>
      </c>
      <c r="C871" t="s">
        <v>463</v>
      </c>
      <c r="D871" t="s">
        <v>47</v>
      </c>
      <c r="E871" t="s">
        <v>214</v>
      </c>
      <c r="F871" t="s">
        <v>214</v>
      </c>
      <c r="G871" s="6">
        <v>1</v>
      </c>
      <c r="H871" s="3">
        <v>756</v>
      </c>
      <c r="I871" s="5">
        <v>0.16</v>
      </c>
      <c r="J871" s="4">
        <v>135.47999999999999</v>
      </c>
      <c r="K871" t="s">
        <v>19</v>
      </c>
      <c r="L871" t="s">
        <v>42</v>
      </c>
      <c r="M871" t="s">
        <v>43</v>
      </c>
      <c r="N871" t="s">
        <v>22</v>
      </c>
      <c r="O871" t="s">
        <v>44</v>
      </c>
    </row>
    <row r="872" spans="1:15" x14ac:dyDescent="0.3">
      <c r="A872" s="2" t="s">
        <v>764</v>
      </c>
      <c r="B872" s="2">
        <v>45834</v>
      </c>
      <c r="C872" t="s">
        <v>25</v>
      </c>
      <c r="D872" t="s">
        <v>34</v>
      </c>
      <c r="E872" t="s">
        <v>302</v>
      </c>
      <c r="F872" t="s">
        <v>302</v>
      </c>
      <c r="G872" s="6">
        <v>1</v>
      </c>
      <c r="H872" s="3">
        <v>2835</v>
      </c>
      <c r="I872" s="5">
        <v>0.19</v>
      </c>
      <c r="J872" s="4">
        <v>338.56</v>
      </c>
      <c r="K872" t="s">
        <v>75</v>
      </c>
      <c r="L872" t="s">
        <v>53</v>
      </c>
      <c r="M872" t="s">
        <v>54</v>
      </c>
      <c r="N872" t="s">
        <v>55</v>
      </c>
      <c r="O872" t="s">
        <v>23</v>
      </c>
    </row>
    <row r="873" spans="1:15" x14ac:dyDescent="0.3">
      <c r="A873" s="2" t="s">
        <v>941</v>
      </c>
      <c r="B873" s="2">
        <v>45888</v>
      </c>
      <c r="C873" t="s">
        <v>289</v>
      </c>
      <c r="D873" t="s">
        <v>34</v>
      </c>
      <c r="E873" t="s">
        <v>227</v>
      </c>
      <c r="F873" t="s">
        <v>227</v>
      </c>
      <c r="G873" s="6">
        <v>2</v>
      </c>
      <c r="H873" s="3">
        <v>11310</v>
      </c>
      <c r="I873" s="5">
        <v>0.13</v>
      </c>
      <c r="J873" s="4">
        <v>1712.28</v>
      </c>
      <c r="K873" t="s">
        <v>52</v>
      </c>
      <c r="L873" t="s">
        <v>121</v>
      </c>
      <c r="M873" t="s">
        <v>122</v>
      </c>
      <c r="N873" t="s">
        <v>55</v>
      </c>
      <c r="O873" t="s">
        <v>44</v>
      </c>
    </row>
    <row r="874" spans="1:15" x14ac:dyDescent="0.3">
      <c r="A874" s="2" t="s">
        <v>225</v>
      </c>
      <c r="B874" s="2">
        <v>45686</v>
      </c>
      <c r="C874" t="s">
        <v>226</v>
      </c>
      <c r="D874" t="s">
        <v>34</v>
      </c>
      <c r="E874" t="s">
        <v>227</v>
      </c>
      <c r="F874" t="s">
        <v>227</v>
      </c>
      <c r="G874" s="6">
        <v>1</v>
      </c>
      <c r="H874" s="3">
        <v>5590</v>
      </c>
      <c r="I874" s="5">
        <v>0.14000000000000001</v>
      </c>
      <c r="J874" s="4">
        <v>529.80999999999995</v>
      </c>
      <c r="K874" t="s">
        <v>52</v>
      </c>
      <c r="L874" t="s">
        <v>42</v>
      </c>
      <c r="M874" t="s">
        <v>43</v>
      </c>
      <c r="N874" t="s">
        <v>22</v>
      </c>
      <c r="O874" t="s">
        <v>44</v>
      </c>
    </row>
    <row r="875" spans="1:15" x14ac:dyDescent="0.3">
      <c r="A875" s="2" t="s">
        <v>881</v>
      </c>
      <c r="B875" s="2">
        <v>45871</v>
      </c>
      <c r="C875" t="s">
        <v>152</v>
      </c>
      <c r="D875" t="s">
        <v>17</v>
      </c>
      <c r="E875" t="s">
        <v>85</v>
      </c>
      <c r="F875" t="s">
        <v>85</v>
      </c>
      <c r="G875" s="6">
        <v>4</v>
      </c>
      <c r="H875" s="3">
        <v>25500</v>
      </c>
      <c r="I875" s="5">
        <v>0.15</v>
      </c>
      <c r="J875" s="4">
        <v>3171.96</v>
      </c>
      <c r="K875" t="s">
        <v>28</v>
      </c>
      <c r="L875" t="s">
        <v>149</v>
      </c>
      <c r="M875" t="s">
        <v>150</v>
      </c>
      <c r="N875" t="s">
        <v>38</v>
      </c>
      <c r="O875" t="s">
        <v>44</v>
      </c>
    </row>
    <row r="876" spans="1:15" x14ac:dyDescent="0.3">
      <c r="A876" s="2" t="s">
        <v>831</v>
      </c>
      <c r="B876" s="2">
        <v>45854</v>
      </c>
      <c r="C876" t="s">
        <v>551</v>
      </c>
      <c r="D876" t="s">
        <v>17</v>
      </c>
      <c r="E876" t="s">
        <v>18</v>
      </c>
      <c r="F876" t="s">
        <v>18</v>
      </c>
      <c r="G876" s="6">
        <v>1</v>
      </c>
      <c r="H876" s="3">
        <v>24300</v>
      </c>
      <c r="I876" s="5">
        <v>0.19</v>
      </c>
      <c r="J876" s="4">
        <v>2009.92</v>
      </c>
      <c r="K876" t="s">
        <v>28</v>
      </c>
      <c r="L876" t="s">
        <v>20</v>
      </c>
      <c r="M876" t="s">
        <v>21</v>
      </c>
      <c r="N876" t="s">
        <v>22</v>
      </c>
      <c r="O876" t="s">
        <v>44</v>
      </c>
    </row>
    <row r="877" spans="1:15" x14ac:dyDescent="0.3">
      <c r="A877" s="2" t="s">
        <v>1212</v>
      </c>
      <c r="B877" s="2">
        <v>45990</v>
      </c>
      <c r="C877" t="s">
        <v>453</v>
      </c>
      <c r="D877" t="s">
        <v>34</v>
      </c>
      <c r="E877" t="s">
        <v>227</v>
      </c>
      <c r="F877" t="s">
        <v>227</v>
      </c>
      <c r="G877" s="6">
        <v>4</v>
      </c>
      <c r="H877" s="3">
        <v>24440</v>
      </c>
      <c r="I877" s="5">
        <v>0.06</v>
      </c>
      <c r="J877" s="4">
        <v>2673.23</v>
      </c>
      <c r="K877" t="s">
        <v>19</v>
      </c>
      <c r="L877" t="s">
        <v>134</v>
      </c>
      <c r="M877" t="s">
        <v>135</v>
      </c>
      <c r="N877" t="s">
        <v>55</v>
      </c>
      <c r="O877" t="s">
        <v>23</v>
      </c>
    </row>
    <row r="878" spans="1:15" x14ac:dyDescent="0.3">
      <c r="A878" s="2" t="s">
        <v>1013</v>
      </c>
      <c r="B878" s="2">
        <v>45915</v>
      </c>
      <c r="C878" t="s">
        <v>463</v>
      </c>
      <c r="D878" t="s">
        <v>95</v>
      </c>
      <c r="E878" t="s">
        <v>125</v>
      </c>
      <c r="F878" t="s">
        <v>125</v>
      </c>
      <c r="G878" s="6">
        <v>3</v>
      </c>
      <c r="H878" s="3">
        <v>4266</v>
      </c>
      <c r="I878" s="5">
        <v>0.21</v>
      </c>
      <c r="J878" s="4">
        <v>670.85</v>
      </c>
      <c r="K878" t="s">
        <v>52</v>
      </c>
      <c r="L878" t="s">
        <v>36</v>
      </c>
      <c r="M878" t="s">
        <v>128</v>
      </c>
      <c r="N878" t="s">
        <v>38</v>
      </c>
      <c r="O878" t="s">
        <v>23</v>
      </c>
    </row>
    <row r="879" spans="1:15" x14ac:dyDescent="0.3">
      <c r="A879" s="2" t="s">
        <v>508</v>
      </c>
      <c r="B879" s="2">
        <v>45752</v>
      </c>
      <c r="C879" t="s">
        <v>145</v>
      </c>
      <c r="D879" t="s">
        <v>47</v>
      </c>
      <c r="E879" t="s">
        <v>368</v>
      </c>
      <c r="F879" t="s">
        <v>368</v>
      </c>
      <c r="G879" s="6">
        <v>3</v>
      </c>
      <c r="H879" s="3">
        <v>4266</v>
      </c>
      <c r="I879" s="5">
        <v>0.21</v>
      </c>
      <c r="J879" s="4">
        <v>614.99</v>
      </c>
      <c r="K879" t="s">
        <v>19</v>
      </c>
      <c r="L879" t="s">
        <v>134</v>
      </c>
      <c r="M879" t="s">
        <v>135</v>
      </c>
      <c r="N879" t="s">
        <v>55</v>
      </c>
      <c r="O879" t="s">
        <v>44</v>
      </c>
    </row>
    <row r="880" spans="1:15" x14ac:dyDescent="0.3">
      <c r="A880" s="2" t="s">
        <v>861</v>
      </c>
      <c r="B880" s="2">
        <v>45865</v>
      </c>
      <c r="C880" t="s">
        <v>183</v>
      </c>
      <c r="D880" t="s">
        <v>26</v>
      </c>
      <c r="E880" t="s">
        <v>64</v>
      </c>
      <c r="F880" t="s">
        <v>64</v>
      </c>
      <c r="G880" s="6">
        <v>1</v>
      </c>
      <c r="H880" s="3">
        <v>711</v>
      </c>
      <c r="I880" s="5">
        <v>0.21</v>
      </c>
      <c r="J880" s="4">
        <v>163.09</v>
      </c>
      <c r="K880" t="s">
        <v>28</v>
      </c>
      <c r="L880" t="s">
        <v>20</v>
      </c>
      <c r="M880" t="s">
        <v>21</v>
      </c>
      <c r="N880" t="s">
        <v>22</v>
      </c>
      <c r="O880" t="s">
        <v>23</v>
      </c>
    </row>
    <row r="881" spans="1:15" x14ac:dyDescent="0.3">
      <c r="A881" s="2" t="s">
        <v>869</v>
      </c>
      <c r="B881" s="2">
        <v>45867</v>
      </c>
      <c r="C881" t="s">
        <v>417</v>
      </c>
      <c r="D881" t="s">
        <v>68</v>
      </c>
      <c r="E881" t="s">
        <v>69</v>
      </c>
      <c r="F881" t="s">
        <v>69</v>
      </c>
      <c r="G881" s="6">
        <v>5</v>
      </c>
      <c r="H881" s="3">
        <v>1900</v>
      </c>
      <c r="I881" s="5">
        <v>0.24</v>
      </c>
      <c r="J881" s="4">
        <v>415.44</v>
      </c>
      <c r="K881" t="s">
        <v>28</v>
      </c>
      <c r="L881" t="s">
        <v>149</v>
      </c>
      <c r="M881" t="s">
        <v>175</v>
      </c>
      <c r="N881" t="s">
        <v>38</v>
      </c>
      <c r="O881" t="s">
        <v>44</v>
      </c>
    </row>
    <row r="882" spans="1:15" x14ac:dyDescent="0.3">
      <c r="A882" s="2" t="s">
        <v>396</v>
      </c>
      <c r="B882" s="2">
        <v>45724</v>
      </c>
      <c r="C882" t="s">
        <v>218</v>
      </c>
      <c r="D882" t="s">
        <v>47</v>
      </c>
      <c r="E882" t="s">
        <v>368</v>
      </c>
      <c r="F882" t="s">
        <v>368</v>
      </c>
      <c r="G882" s="6">
        <v>2</v>
      </c>
      <c r="H882" s="3">
        <v>3060</v>
      </c>
      <c r="I882" s="5">
        <v>0.15</v>
      </c>
      <c r="J882" s="4">
        <v>580.48</v>
      </c>
      <c r="K882" t="s">
        <v>75</v>
      </c>
      <c r="L882" t="s">
        <v>29</v>
      </c>
      <c r="M882" t="s">
        <v>30</v>
      </c>
      <c r="N882" t="s">
        <v>31</v>
      </c>
      <c r="O882" t="s">
        <v>44</v>
      </c>
    </row>
    <row r="883" spans="1:15" x14ac:dyDescent="0.3">
      <c r="A883" s="2" t="s">
        <v>1163</v>
      </c>
      <c r="B883" s="2">
        <v>45973</v>
      </c>
      <c r="C883" t="s">
        <v>89</v>
      </c>
      <c r="D883" t="s">
        <v>47</v>
      </c>
      <c r="E883" t="s">
        <v>194</v>
      </c>
      <c r="F883" t="s">
        <v>194</v>
      </c>
      <c r="G883" s="6">
        <v>5</v>
      </c>
      <c r="H883" s="3">
        <v>253000</v>
      </c>
      <c r="I883" s="5">
        <v>0.08</v>
      </c>
      <c r="J883" s="4">
        <v>33069.870000000003</v>
      </c>
      <c r="K883" t="s">
        <v>65</v>
      </c>
      <c r="L883" t="s">
        <v>36</v>
      </c>
      <c r="M883" t="s">
        <v>101</v>
      </c>
      <c r="N883" t="s">
        <v>38</v>
      </c>
      <c r="O883" t="s">
        <v>44</v>
      </c>
    </row>
    <row r="884" spans="1:15" x14ac:dyDescent="0.3">
      <c r="A884" s="2" t="s">
        <v>954</v>
      </c>
      <c r="B884" s="2">
        <v>45892</v>
      </c>
      <c r="C884" t="s">
        <v>437</v>
      </c>
      <c r="D884" t="s">
        <v>58</v>
      </c>
      <c r="E884" t="s">
        <v>59</v>
      </c>
      <c r="F884" t="s">
        <v>59</v>
      </c>
      <c r="G884" s="6">
        <v>2</v>
      </c>
      <c r="H884" s="3">
        <v>693</v>
      </c>
      <c r="I884" s="5">
        <v>0.23</v>
      </c>
      <c r="J884" s="4">
        <v>107.29</v>
      </c>
      <c r="K884" t="s">
        <v>28</v>
      </c>
      <c r="L884" t="s">
        <v>149</v>
      </c>
      <c r="M884" t="s">
        <v>175</v>
      </c>
      <c r="N884" t="s">
        <v>38</v>
      </c>
      <c r="O884" t="s">
        <v>44</v>
      </c>
    </row>
    <row r="885" spans="1:15" x14ac:dyDescent="0.3">
      <c r="A885" s="2" t="s">
        <v>1235</v>
      </c>
      <c r="B885" s="2">
        <v>45996</v>
      </c>
      <c r="C885" t="s">
        <v>73</v>
      </c>
      <c r="D885" t="s">
        <v>47</v>
      </c>
      <c r="E885" t="s">
        <v>240</v>
      </c>
      <c r="F885" t="s">
        <v>240</v>
      </c>
      <c r="G885" s="6">
        <v>1</v>
      </c>
      <c r="H885" s="3">
        <v>2175</v>
      </c>
      <c r="I885" s="5">
        <v>0.13</v>
      </c>
      <c r="J885" s="4">
        <v>202.37</v>
      </c>
      <c r="K885" t="s">
        <v>19</v>
      </c>
      <c r="L885" t="s">
        <v>78</v>
      </c>
      <c r="M885" t="s">
        <v>79</v>
      </c>
      <c r="N885" t="s">
        <v>22</v>
      </c>
      <c r="O885" t="s">
        <v>23</v>
      </c>
    </row>
    <row r="886" spans="1:15" x14ac:dyDescent="0.3">
      <c r="A886" s="2" t="s">
        <v>1056</v>
      </c>
      <c r="B886" s="2">
        <v>45936</v>
      </c>
      <c r="C886" t="s">
        <v>257</v>
      </c>
      <c r="D886" t="s">
        <v>58</v>
      </c>
      <c r="E886" t="s">
        <v>178</v>
      </c>
      <c r="F886" t="s">
        <v>178</v>
      </c>
      <c r="G886" s="6">
        <v>2</v>
      </c>
      <c r="H886" s="3">
        <v>1066</v>
      </c>
      <c r="I886" s="5">
        <v>0.18</v>
      </c>
      <c r="J886" s="4">
        <v>201.8</v>
      </c>
      <c r="K886" t="s">
        <v>49</v>
      </c>
      <c r="L886" t="s">
        <v>20</v>
      </c>
      <c r="M886" t="s">
        <v>21</v>
      </c>
      <c r="N886" t="s">
        <v>22</v>
      </c>
      <c r="O886" t="s">
        <v>23</v>
      </c>
    </row>
    <row r="887" spans="1:15" x14ac:dyDescent="0.3">
      <c r="A887" s="2" t="s">
        <v>1110</v>
      </c>
      <c r="B887" s="2">
        <v>45953</v>
      </c>
      <c r="C887" t="s">
        <v>386</v>
      </c>
      <c r="D887" t="s">
        <v>95</v>
      </c>
      <c r="E887" t="s">
        <v>125</v>
      </c>
      <c r="F887" t="s">
        <v>125</v>
      </c>
      <c r="G887" s="6">
        <v>2</v>
      </c>
      <c r="H887" s="3">
        <v>2916</v>
      </c>
      <c r="I887" s="5">
        <v>0.19</v>
      </c>
      <c r="J887" s="4">
        <v>445.91</v>
      </c>
      <c r="K887" t="s">
        <v>49</v>
      </c>
      <c r="L887" t="s">
        <v>60</v>
      </c>
      <c r="M887" t="s">
        <v>61</v>
      </c>
      <c r="N887" t="s">
        <v>38</v>
      </c>
      <c r="O887" t="s">
        <v>44</v>
      </c>
    </row>
    <row r="888" spans="1:15" x14ac:dyDescent="0.3">
      <c r="A888" s="2" t="s">
        <v>476</v>
      </c>
      <c r="B888" s="2">
        <v>45743</v>
      </c>
      <c r="C888" t="s">
        <v>477</v>
      </c>
      <c r="D888" t="s">
        <v>47</v>
      </c>
      <c r="E888" t="s">
        <v>240</v>
      </c>
      <c r="F888" t="s">
        <v>240</v>
      </c>
      <c r="G888" s="6">
        <v>3</v>
      </c>
      <c r="H888" s="3">
        <v>6750</v>
      </c>
      <c r="I888" s="5">
        <v>0.1</v>
      </c>
      <c r="J888" s="4">
        <v>753.15</v>
      </c>
      <c r="K888" t="s">
        <v>28</v>
      </c>
      <c r="L888" t="s">
        <v>60</v>
      </c>
      <c r="M888" t="s">
        <v>61</v>
      </c>
      <c r="N888" t="s">
        <v>38</v>
      </c>
      <c r="O888" t="s">
        <v>23</v>
      </c>
    </row>
    <row r="889" spans="1:15" x14ac:dyDescent="0.3">
      <c r="A889" s="2" t="s">
        <v>1034</v>
      </c>
      <c r="B889" s="2">
        <v>45927</v>
      </c>
      <c r="C889" t="s">
        <v>477</v>
      </c>
      <c r="D889" t="s">
        <v>26</v>
      </c>
      <c r="E889" t="s">
        <v>188</v>
      </c>
      <c r="F889" t="s">
        <v>188</v>
      </c>
      <c r="G889" s="6">
        <v>2</v>
      </c>
      <c r="H889" s="3">
        <v>4920</v>
      </c>
      <c r="I889" s="5">
        <v>0.18</v>
      </c>
      <c r="J889" s="4">
        <v>746.56</v>
      </c>
      <c r="K889" t="s">
        <v>75</v>
      </c>
      <c r="L889" t="s">
        <v>159</v>
      </c>
      <c r="M889" t="s">
        <v>160</v>
      </c>
      <c r="N889" t="s">
        <v>38</v>
      </c>
      <c r="O889" t="s">
        <v>44</v>
      </c>
    </row>
    <row r="890" spans="1:15" x14ac:dyDescent="0.3">
      <c r="A890" s="2" t="s">
        <v>804</v>
      </c>
      <c r="B890" s="2">
        <v>45846</v>
      </c>
      <c r="C890" t="s">
        <v>450</v>
      </c>
      <c r="D890" t="s">
        <v>47</v>
      </c>
      <c r="E890" t="s">
        <v>48</v>
      </c>
      <c r="F890" t="s">
        <v>48</v>
      </c>
      <c r="G890" s="6">
        <v>5</v>
      </c>
      <c r="H890" s="3">
        <v>113750</v>
      </c>
      <c r="I890" s="5">
        <v>0.09</v>
      </c>
      <c r="J890" s="4">
        <v>12663.94</v>
      </c>
      <c r="K890" t="s">
        <v>65</v>
      </c>
      <c r="L890" t="s">
        <v>208</v>
      </c>
      <c r="M890" t="s">
        <v>209</v>
      </c>
      <c r="N890" t="s">
        <v>31</v>
      </c>
      <c r="O890" t="s">
        <v>44</v>
      </c>
    </row>
    <row r="891" spans="1:15" x14ac:dyDescent="0.3">
      <c r="A891" s="2" t="s">
        <v>753</v>
      </c>
      <c r="B891" s="2">
        <v>45827</v>
      </c>
      <c r="C891" t="s">
        <v>94</v>
      </c>
      <c r="D891" t="s">
        <v>26</v>
      </c>
      <c r="E891" t="s">
        <v>27</v>
      </c>
      <c r="F891" t="s">
        <v>27</v>
      </c>
      <c r="G891" s="6">
        <v>4</v>
      </c>
      <c r="H891" s="3">
        <v>4368</v>
      </c>
      <c r="I891" s="5">
        <v>0.22</v>
      </c>
      <c r="J891" s="4">
        <v>695.32</v>
      </c>
      <c r="K891" t="s">
        <v>28</v>
      </c>
      <c r="L891" t="s">
        <v>170</v>
      </c>
      <c r="M891" t="s">
        <v>171</v>
      </c>
      <c r="N891" t="s">
        <v>31</v>
      </c>
      <c r="O891" t="s">
        <v>44</v>
      </c>
    </row>
    <row r="892" spans="1:15" x14ac:dyDescent="0.3">
      <c r="A892" s="2" t="s">
        <v>1092</v>
      </c>
      <c r="B892" s="2">
        <v>45945</v>
      </c>
      <c r="C892" t="s">
        <v>269</v>
      </c>
      <c r="D892" t="s">
        <v>26</v>
      </c>
      <c r="E892" t="s">
        <v>27</v>
      </c>
      <c r="F892" t="s">
        <v>27</v>
      </c>
      <c r="G892" s="6">
        <v>3</v>
      </c>
      <c r="H892" s="3">
        <v>3276</v>
      </c>
      <c r="I892" s="5">
        <v>0.22</v>
      </c>
      <c r="J892" s="4">
        <v>704.42</v>
      </c>
      <c r="K892" t="s">
        <v>28</v>
      </c>
      <c r="L892" t="s">
        <v>36</v>
      </c>
      <c r="M892" t="s">
        <v>128</v>
      </c>
      <c r="N892" t="s">
        <v>38</v>
      </c>
      <c r="O892" t="s">
        <v>23</v>
      </c>
    </row>
    <row r="893" spans="1:15" x14ac:dyDescent="0.3">
      <c r="A893" s="2" t="s">
        <v>845</v>
      </c>
      <c r="B893" s="2">
        <v>45859</v>
      </c>
      <c r="C893" t="s">
        <v>130</v>
      </c>
      <c r="D893" t="s">
        <v>34</v>
      </c>
      <c r="E893" t="s">
        <v>143</v>
      </c>
      <c r="F893" t="s">
        <v>143</v>
      </c>
      <c r="G893" s="6">
        <v>2</v>
      </c>
      <c r="H893" s="3">
        <v>1280</v>
      </c>
      <c r="I893" s="5">
        <v>0.2</v>
      </c>
      <c r="J893" s="4">
        <v>231.1</v>
      </c>
      <c r="K893" t="s">
        <v>75</v>
      </c>
      <c r="L893" t="s">
        <v>20</v>
      </c>
      <c r="M893" t="s">
        <v>21</v>
      </c>
      <c r="N893" t="s">
        <v>22</v>
      </c>
      <c r="O893" t="s">
        <v>23</v>
      </c>
    </row>
    <row r="894" spans="1:15" x14ac:dyDescent="0.3">
      <c r="A894" s="2" t="s">
        <v>929</v>
      </c>
      <c r="B894" s="2">
        <v>45885</v>
      </c>
      <c r="C894" t="s">
        <v>517</v>
      </c>
      <c r="D894" t="s">
        <v>26</v>
      </c>
      <c r="E894" t="s">
        <v>133</v>
      </c>
      <c r="F894" t="s">
        <v>133</v>
      </c>
      <c r="G894" s="6">
        <v>3</v>
      </c>
      <c r="H894" s="3">
        <v>6972</v>
      </c>
      <c r="I894" s="5">
        <v>0.17</v>
      </c>
      <c r="J894" s="4">
        <v>908.62</v>
      </c>
      <c r="K894" t="s">
        <v>19</v>
      </c>
      <c r="L894" t="s">
        <v>78</v>
      </c>
      <c r="M894" t="s">
        <v>79</v>
      </c>
      <c r="N894" t="s">
        <v>22</v>
      </c>
      <c r="O894" t="s">
        <v>23</v>
      </c>
    </row>
    <row r="895" spans="1:15" x14ac:dyDescent="0.3">
      <c r="A895" s="2" t="s">
        <v>239</v>
      </c>
      <c r="B895" s="2">
        <v>45690</v>
      </c>
      <c r="C895" t="s">
        <v>190</v>
      </c>
      <c r="D895" t="s">
        <v>47</v>
      </c>
      <c r="E895" t="s">
        <v>240</v>
      </c>
      <c r="F895" t="s">
        <v>240</v>
      </c>
      <c r="G895" s="6">
        <v>5</v>
      </c>
      <c r="H895" s="3">
        <v>10000</v>
      </c>
      <c r="I895" s="5">
        <v>0.2</v>
      </c>
      <c r="J895" s="4">
        <v>1616.29</v>
      </c>
      <c r="K895" t="s">
        <v>65</v>
      </c>
      <c r="L895" t="s">
        <v>36</v>
      </c>
      <c r="M895" t="s">
        <v>101</v>
      </c>
      <c r="N895" t="s">
        <v>38</v>
      </c>
      <c r="O895" t="s">
        <v>44</v>
      </c>
    </row>
    <row r="896" spans="1:15" x14ac:dyDescent="0.3">
      <c r="A896" s="2" t="s">
        <v>1003</v>
      </c>
      <c r="B896" s="2">
        <v>45911</v>
      </c>
      <c r="C896" t="s">
        <v>229</v>
      </c>
      <c r="D896" t="s">
        <v>95</v>
      </c>
      <c r="E896" t="s">
        <v>96</v>
      </c>
      <c r="F896" t="s">
        <v>96</v>
      </c>
      <c r="G896" s="6">
        <v>3</v>
      </c>
      <c r="H896" s="3">
        <v>1971</v>
      </c>
      <c r="I896" s="5">
        <v>0.27</v>
      </c>
      <c r="J896" s="4">
        <v>328.53</v>
      </c>
      <c r="K896" t="s">
        <v>65</v>
      </c>
      <c r="L896" t="s">
        <v>70</v>
      </c>
      <c r="M896" t="s">
        <v>71</v>
      </c>
      <c r="N896" t="s">
        <v>55</v>
      </c>
      <c r="O896" t="s">
        <v>23</v>
      </c>
    </row>
    <row r="897" spans="1:15" x14ac:dyDescent="0.3">
      <c r="A897" s="2" t="s">
        <v>292</v>
      </c>
      <c r="B897" s="2">
        <v>45701</v>
      </c>
      <c r="C897" t="s">
        <v>25</v>
      </c>
      <c r="D897" t="s">
        <v>58</v>
      </c>
      <c r="E897" t="s">
        <v>178</v>
      </c>
      <c r="F897" t="s">
        <v>178</v>
      </c>
      <c r="G897" s="6">
        <v>1</v>
      </c>
      <c r="H897" s="3">
        <v>546</v>
      </c>
      <c r="I897" s="5">
        <v>0.16</v>
      </c>
      <c r="J897" s="4">
        <v>72.7</v>
      </c>
      <c r="K897" t="s">
        <v>65</v>
      </c>
      <c r="L897" t="s">
        <v>159</v>
      </c>
      <c r="M897" t="s">
        <v>160</v>
      </c>
      <c r="N897" t="s">
        <v>38</v>
      </c>
      <c r="O897" t="s">
        <v>23</v>
      </c>
    </row>
    <row r="898" spans="1:15" x14ac:dyDescent="0.3">
      <c r="A898" s="2" t="s">
        <v>350</v>
      </c>
      <c r="B898" s="2">
        <v>45713</v>
      </c>
      <c r="C898" t="s">
        <v>351</v>
      </c>
      <c r="D898" t="s">
        <v>95</v>
      </c>
      <c r="E898" t="s">
        <v>185</v>
      </c>
      <c r="F898" t="s">
        <v>185</v>
      </c>
      <c r="G898" s="6">
        <v>2</v>
      </c>
      <c r="H898" s="3">
        <v>1824</v>
      </c>
      <c r="I898" s="5">
        <v>0.24</v>
      </c>
      <c r="J898" s="4">
        <v>348.79</v>
      </c>
      <c r="K898" t="s">
        <v>28</v>
      </c>
      <c r="L898" t="s">
        <v>29</v>
      </c>
      <c r="M898" t="s">
        <v>30</v>
      </c>
      <c r="N898" t="s">
        <v>31</v>
      </c>
      <c r="O898" t="s">
        <v>44</v>
      </c>
    </row>
    <row r="899" spans="1:15" x14ac:dyDescent="0.3">
      <c r="A899" s="2" t="s">
        <v>923</v>
      </c>
      <c r="B899" s="2">
        <v>45883</v>
      </c>
      <c r="C899" t="s">
        <v>526</v>
      </c>
      <c r="D899" t="s">
        <v>47</v>
      </c>
      <c r="E899" t="s">
        <v>368</v>
      </c>
      <c r="F899" t="s">
        <v>368</v>
      </c>
      <c r="G899" s="6">
        <v>5</v>
      </c>
      <c r="H899" s="3">
        <v>7200</v>
      </c>
      <c r="I899" s="5">
        <v>0.2</v>
      </c>
      <c r="J899" s="4">
        <v>968.69</v>
      </c>
      <c r="K899" t="s">
        <v>49</v>
      </c>
      <c r="L899" t="s">
        <v>42</v>
      </c>
      <c r="M899" t="s">
        <v>43</v>
      </c>
      <c r="N899" t="s">
        <v>22</v>
      </c>
      <c r="O899" t="s">
        <v>44</v>
      </c>
    </row>
    <row r="900" spans="1:15" x14ac:dyDescent="0.3">
      <c r="A900" s="2" t="s">
        <v>1182</v>
      </c>
      <c r="B900" s="2">
        <v>45981</v>
      </c>
      <c r="C900" t="s">
        <v>155</v>
      </c>
      <c r="D900" t="s">
        <v>26</v>
      </c>
      <c r="E900" t="s">
        <v>133</v>
      </c>
      <c r="F900" t="s">
        <v>133</v>
      </c>
      <c r="G900" s="6">
        <v>2</v>
      </c>
      <c r="H900" s="3">
        <v>4760</v>
      </c>
      <c r="I900" s="5">
        <v>0.15</v>
      </c>
      <c r="J900" s="4">
        <v>762.12</v>
      </c>
      <c r="K900" t="s">
        <v>28</v>
      </c>
      <c r="L900" t="s">
        <v>60</v>
      </c>
      <c r="M900" t="s">
        <v>61</v>
      </c>
      <c r="N900" t="s">
        <v>38</v>
      </c>
      <c r="O900" t="s">
        <v>44</v>
      </c>
    </row>
    <row r="901" spans="1:15" x14ac:dyDescent="0.3">
      <c r="A901" s="2" t="s">
        <v>473</v>
      </c>
      <c r="B901" s="2">
        <v>45743</v>
      </c>
      <c r="C901" t="s">
        <v>474</v>
      </c>
      <c r="D901" t="s">
        <v>34</v>
      </c>
      <c r="E901" t="s">
        <v>41</v>
      </c>
      <c r="F901" t="s">
        <v>41</v>
      </c>
      <c r="G901" s="6">
        <v>4</v>
      </c>
      <c r="H901" s="3">
        <v>18600</v>
      </c>
      <c r="I901" s="5">
        <v>7.0000000000000007E-2</v>
      </c>
      <c r="J901" s="4">
        <v>3512.11</v>
      </c>
      <c r="K901" t="s">
        <v>49</v>
      </c>
      <c r="L901" t="s">
        <v>36</v>
      </c>
      <c r="M901" t="s">
        <v>101</v>
      </c>
      <c r="N901" t="s">
        <v>38</v>
      </c>
      <c r="O901" t="s">
        <v>23</v>
      </c>
    </row>
    <row r="902" spans="1:15" x14ac:dyDescent="0.3">
      <c r="A902" s="2" t="s">
        <v>671</v>
      </c>
      <c r="B902" s="2">
        <v>45801</v>
      </c>
      <c r="C902" t="s">
        <v>307</v>
      </c>
      <c r="D902" t="s">
        <v>34</v>
      </c>
      <c r="E902" t="s">
        <v>302</v>
      </c>
      <c r="F902" t="s">
        <v>302</v>
      </c>
      <c r="G902" s="6">
        <v>3</v>
      </c>
      <c r="H902" s="3">
        <v>9240</v>
      </c>
      <c r="I902" s="5">
        <v>0.12</v>
      </c>
      <c r="J902" s="4">
        <v>1558.16</v>
      </c>
      <c r="K902" t="s">
        <v>49</v>
      </c>
      <c r="L902" t="s">
        <v>170</v>
      </c>
      <c r="M902" t="s">
        <v>171</v>
      </c>
      <c r="N902" t="s">
        <v>31</v>
      </c>
      <c r="O902" t="s">
        <v>44</v>
      </c>
    </row>
    <row r="903" spans="1:15" x14ac:dyDescent="0.3">
      <c r="A903" s="2" t="s">
        <v>951</v>
      </c>
      <c r="B903" s="2">
        <v>45891</v>
      </c>
      <c r="C903" t="s">
        <v>25</v>
      </c>
      <c r="D903" t="s">
        <v>17</v>
      </c>
      <c r="E903" t="s">
        <v>158</v>
      </c>
      <c r="F903" t="s">
        <v>158</v>
      </c>
      <c r="G903" s="6">
        <v>3</v>
      </c>
      <c r="H903" s="3">
        <v>54780</v>
      </c>
      <c r="I903" s="5">
        <v>0.17</v>
      </c>
      <c r="J903" s="4">
        <v>5535.18</v>
      </c>
      <c r="K903" t="s">
        <v>75</v>
      </c>
      <c r="L903" t="s">
        <v>121</v>
      </c>
      <c r="M903" t="s">
        <v>122</v>
      </c>
      <c r="N903" t="s">
        <v>55</v>
      </c>
      <c r="O903" t="s">
        <v>23</v>
      </c>
    </row>
    <row r="904" spans="1:15" x14ac:dyDescent="0.3">
      <c r="A904" s="2" t="s">
        <v>638</v>
      </c>
      <c r="B904" s="2">
        <v>45791</v>
      </c>
      <c r="C904" t="s">
        <v>155</v>
      </c>
      <c r="D904" t="s">
        <v>58</v>
      </c>
      <c r="E904" t="s">
        <v>77</v>
      </c>
      <c r="F904" t="s">
        <v>77</v>
      </c>
      <c r="G904" s="6">
        <v>5</v>
      </c>
      <c r="H904" s="3">
        <v>7470</v>
      </c>
      <c r="I904" s="5">
        <v>0.17</v>
      </c>
      <c r="J904" s="4">
        <v>1411.51</v>
      </c>
      <c r="K904" t="s">
        <v>75</v>
      </c>
      <c r="L904" t="s">
        <v>208</v>
      </c>
      <c r="M904" t="s">
        <v>209</v>
      </c>
      <c r="N904" t="s">
        <v>31</v>
      </c>
      <c r="O904" t="s">
        <v>44</v>
      </c>
    </row>
    <row r="905" spans="1:15" x14ac:dyDescent="0.3">
      <c r="A905" s="2" t="s">
        <v>1111</v>
      </c>
      <c r="B905" s="2">
        <v>45953</v>
      </c>
      <c r="C905" t="s">
        <v>253</v>
      </c>
      <c r="D905" t="s">
        <v>47</v>
      </c>
      <c r="E905" t="s">
        <v>74</v>
      </c>
      <c r="F905" t="s">
        <v>74</v>
      </c>
      <c r="G905" s="6">
        <v>1</v>
      </c>
      <c r="H905" s="3">
        <v>14760</v>
      </c>
      <c r="I905" s="5">
        <v>0.18</v>
      </c>
      <c r="J905" s="4">
        <v>2312.69</v>
      </c>
      <c r="K905" t="s">
        <v>65</v>
      </c>
      <c r="L905" t="s">
        <v>53</v>
      </c>
      <c r="M905" t="s">
        <v>54</v>
      </c>
      <c r="N905" t="s">
        <v>55</v>
      </c>
      <c r="O905" t="s">
        <v>23</v>
      </c>
    </row>
    <row r="906" spans="1:15" x14ac:dyDescent="0.3">
      <c r="A906" s="2" t="s">
        <v>743</v>
      </c>
      <c r="B906" s="2">
        <v>45823</v>
      </c>
      <c r="C906" t="s">
        <v>680</v>
      </c>
      <c r="D906" t="s">
        <v>58</v>
      </c>
      <c r="E906" t="s">
        <v>59</v>
      </c>
      <c r="F906" t="s">
        <v>59</v>
      </c>
      <c r="G906" s="6">
        <v>5</v>
      </c>
      <c r="H906" s="3">
        <v>1732.5</v>
      </c>
      <c r="I906" s="5">
        <v>0.23</v>
      </c>
      <c r="J906" s="4">
        <v>317.3</v>
      </c>
      <c r="K906" t="s">
        <v>19</v>
      </c>
      <c r="L906" t="s">
        <v>20</v>
      </c>
      <c r="M906" t="s">
        <v>21</v>
      </c>
      <c r="N906" t="s">
        <v>22</v>
      </c>
      <c r="O906" t="s">
        <v>44</v>
      </c>
    </row>
    <row r="907" spans="1:15" x14ac:dyDescent="0.3">
      <c r="A907" s="2" t="s">
        <v>531</v>
      </c>
      <c r="B907" s="2">
        <v>45758</v>
      </c>
      <c r="C907" t="s">
        <v>472</v>
      </c>
      <c r="D907" t="s">
        <v>58</v>
      </c>
      <c r="E907" t="s">
        <v>178</v>
      </c>
      <c r="F907" t="s">
        <v>178</v>
      </c>
      <c r="G907" s="6">
        <v>3</v>
      </c>
      <c r="H907" s="3">
        <v>1579.5</v>
      </c>
      <c r="I907" s="5">
        <v>0.19</v>
      </c>
      <c r="J907" s="4">
        <v>251.77</v>
      </c>
      <c r="K907" t="s">
        <v>65</v>
      </c>
      <c r="L907" t="s">
        <v>36</v>
      </c>
      <c r="M907" t="s">
        <v>101</v>
      </c>
      <c r="N907" t="s">
        <v>38</v>
      </c>
      <c r="O907" t="s">
        <v>23</v>
      </c>
    </row>
    <row r="908" spans="1:15" x14ac:dyDescent="0.3">
      <c r="A908" s="2" t="s">
        <v>182</v>
      </c>
      <c r="B908" s="2">
        <v>45678</v>
      </c>
      <c r="C908" t="s">
        <v>183</v>
      </c>
      <c r="D908" t="s">
        <v>68</v>
      </c>
      <c r="E908" t="s">
        <v>120</v>
      </c>
      <c r="F908" t="s">
        <v>120</v>
      </c>
      <c r="G908" s="6">
        <v>5</v>
      </c>
      <c r="H908" s="3">
        <v>2590</v>
      </c>
      <c r="I908" s="5">
        <v>0.26</v>
      </c>
      <c r="J908" s="4">
        <v>448.27</v>
      </c>
      <c r="K908" t="s">
        <v>65</v>
      </c>
      <c r="L908" t="s">
        <v>20</v>
      </c>
      <c r="M908" t="s">
        <v>21</v>
      </c>
      <c r="N908" t="s">
        <v>22</v>
      </c>
      <c r="O908" t="s">
        <v>44</v>
      </c>
    </row>
    <row r="909" spans="1:15" x14ac:dyDescent="0.3">
      <c r="A909" s="2" t="s">
        <v>1226</v>
      </c>
      <c r="B909" s="2">
        <v>45993</v>
      </c>
      <c r="C909" t="s">
        <v>477</v>
      </c>
      <c r="D909" t="s">
        <v>26</v>
      </c>
      <c r="E909" t="s">
        <v>133</v>
      </c>
      <c r="F909" t="s">
        <v>133</v>
      </c>
      <c r="G909" s="6">
        <v>3</v>
      </c>
      <c r="H909" s="3">
        <v>6804</v>
      </c>
      <c r="I909" s="5">
        <v>0.19</v>
      </c>
      <c r="J909" s="4">
        <v>733.5</v>
      </c>
      <c r="K909" t="s">
        <v>19</v>
      </c>
      <c r="L909" t="s">
        <v>97</v>
      </c>
      <c r="M909" t="s">
        <v>98</v>
      </c>
      <c r="N909" t="s">
        <v>31</v>
      </c>
      <c r="O909" t="s">
        <v>44</v>
      </c>
    </row>
    <row r="910" spans="1:15" x14ac:dyDescent="0.3">
      <c r="A910" s="2" t="s">
        <v>641</v>
      </c>
      <c r="B910" s="2">
        <v>45792</v>
      </c>
      <c r="C910" t="s">
        <v>152</v>
      </c>
      <c r="D910" t="s">
        <v>47</v>
      </c>
      <c r="E910" t="s">
        <v>194</v>
      </c>
      <c r="F910" t="s">
        <v>194</v>
      </c>
      <c r="G910" s="6">
        <v>1</v>
      </c>
      <c r="H910" s="3">
        <v>47850</v>
      </c>
      <c r="I910" s="5">
        <v>0.13</v>
      </c>
      <c r="J910" s="4">
        <v>4403.68</v>
      </c>
      <c r="K910" t="s">
        <v>49</v>
      </c>
      <c r="L910" t="s">
        <v>20</v>
      </c>
      <c r="M910" t="s">
        <v>21</v>
      </c>
      <c r="N910" t="s">
        <v>22</v>
      </c>
      <c r="O910" t="s">
        <v>23</v>
      </c>
    </row>
    <row r="911" spans="1:15" x14ac:dyDescent="0.3">
      <c r="A911" s="2" t="s">
        <v>1192</v>
      </c>
      <c r="B911" s="2">
        <v>45984</v>
      </c>
      <c r="C911" t="s">
        <v>680</v>
      </c>
      <c r="D911" t="s">
        <v>17</v>
      </c>
      <c r="E911" t="s">
        <v>148</v>
      </c>
      <c r="F911" t="s">
        <v>148</v>
      </c>
      <c r="G911" s="6">
        <v>2</v>
      </c>
      <c r="H911" s="3">
        <v>43680</v>
      </c>
      <c r="I911" s="5">
        <v>0.22</v>
      </c>
      <c r="J911" s="4">
        <v>3880.61</v>
      </c>
      <c r="K911" t="s">
        <v>52</v>
      </c>
      <c r="L911" t="s">
        <v>70</v>
      </c>
      <c r="M911" t="s">
        <v>71</v>
      </c>
      <c r="N911" t="s">
        <v>55</v>
      </c>
      <c r="O911" t="s">
        <v>23</v>
      </c>
    </row>
    <row r="912" spans="1:15" x14ac:dyDescent="0.3">
      <c r="A912" s="2" t="s">
        <v>830</v>
      </c>
      <c r="B912" s="2">
        <v>45854</v>
      </c>
      <c r="C912" t="s">
        <v>500</v>
      </c>
      <c r="D912" t="s">
        <v>26</v>
      </c>
      <c r="E912" t="s">
        <v>118</v>
      </c>
      <c r="F912" t="s">
        <v>118</v>
      </c>
      <c r="G912" s="6">
        <v>3</v>
      </c>
      <c r="H912" s="3">
        <v>4428</v>
      </c>
      <c r="I912" s="5">
        <v>0.18</v>
      </c>
      <c r="J912" s="4">
        <v>738.6</v>
      </c>
      <c r="K912" t="s">
        <v>28</v>
      </c>
      <c r="L912" t="s">
        <v>159</v>
      </c>
      <c r="M912" t="s">
        <v>160</v>
      </c>
      <c r="N912" t="s">
        <v>38</v>
      </c>
      <c r="O912" t="s">
        <v>23</v>
      </c>
    </row>
    <row r="913" spans="1:15" x14ac:dyDescent="0.3">
      <c r="A913" s="2" t="s">
        <v>691</v>
      </c>
      <c r="B913" s="2">
        <v>45808</v>
      </c>
      <c r="C913" t="s">
        <v>517</v>
      </c>
      <c r="D913" t="s">
        <v>17</v>
      </c>
      <c r="E913" t="s">
        <v>110</v>
      </c>
      <c r="F913" t="s">
        <v>110</v>
      </c>
      <c r="G913" s="6">
        <v>2</v>
      </c>
      <c r="H913" s="3">
        <v>11440</v>
      </c>
      <c r="I913" s="5">
        <v>0.12</v>
      </c>
      <c r="J913" s="4">
        <v>1278.03</v>
      </c>
      <c r="K913" t="s">
        <v>19</v>
      </c>
      <c r="L913" t="s">
        <v>42</v>
      </c>
      <c r="M913" t="s">
        <v>43</v>
      </c>
      <c r="N913" t="s">
        <v>22</v>
      </c>
      <c r="O913" t="s">
        <v>23</v>
      </c>
    </row>
    <row r="914" spans="1:15" x14ac:dyDescent="0.3">
      <c r="A914" s="2" t="s">
        <v>739</v>
      </c>
      <c r="B914" s="2">
        <v>45821</v>
      </c>
      <c r="C914" t="s">
        <v>327</v>
      </c>
      <c r="D914" t="s">
        <v>34</v>
      </c>
      <c r="E914" t="s">
        <v>143</v>
      </c>
      <c r="F914" t="s">
        <v>143</v>
      </c>
      <c r="G914" s="6">
        <v>3</v>
      </c>
      <c r="H914" s="3">
        <v>1896</v>
      </c>
      <c r="I914" s="5">
        <v>0.21</v>
      </c>
      <c r="J914" s="4">
        <v>317.48</v>
      </c>
      <c r="K914" t="s">
        <v>49</v>
      </c>
      <c r="L914" t="s">
        <v>60</v>
      </c>
      <c r="M914" t="s">
        <v>61</v>
      </c>
      <c r="N914" t="s">
        <v>38</v>
      </c>
      <c r="O914" t="s">
        <v>23</v>
      </c>
    </row>
    <row r="915" spans="1:15" x14ac:dyDescent="0.3">
      <c r="A915" s="2" t="s">
        <v>806</v>
      </c>
      <c r="B915" s="2">
        <v>45847</v>
      </c>
      <c r="C915" t="s">
        <v>114</v>
      </c>
      <c r="D915" t="s">
        <v>47</v>
      </c>
      <c r="E915" t="s">
        <v>368</v>
      </c>
      <c r="F915" t="s">
        <v>368</v>
      </c>
      <c r="G915" s="6">
        <v>2</v>
      </c>
      <c r="H915" s="3">
        <v>3132</v>
      </c>
      <c r="I915" s="5">
        <v>0.13</v>
      </c>
      <c r="J915" s="4">
        <v>376.91</v>
      </c>
      <c r="K915" t="s">
        <v>28</v>
      </c>
      <c r="L915" t="s">
        <v>149</v>
      </c>
      <c r="M915" t="s">
        <v>150</v>
      </c>
      <c r="N915" t="s">
        <v>38</v>
      </c>
      <c r="O915" t="s">
        <v>23</v>
      </c>
    </row>
    <row r="916" spans="1:15" x14ac:dyDescent="0.3">
      <c r="A916" s="2" t="s">
        <v>725</v>
      </c>
      <c r="B916" s="2">
        <v>45815</v>
      </c>
      <c r="C916" t="s">
        <v>726</v>
      </c>
      <c r="D916" t="s">
        <v>58</v>
      </c>
      <c r="E916" t="s">
        <v>138</v>
      </c>
      <c r="F916" t="s">
        <v>138</v>
      </c>
      <c r="G916" s="6">
        <v>5</v>
      </c>
      <c r="H916" s="3">
        <v>9460</v>
      </c>
      <c r="I916" s="5">
        <v>0.14000000000000001</v>
      </c>
      <c r="J916" s="4">
        <v>1431.59</v>
      </c>
      <c r="K916" t="s">
        <v>49</v>
      </c>
      <c r="L916" t="s">
        <v>36</v>
      </c>
      <c r="M916" t="s">
        <v>101</v>
      </c>
      <c r="N916" t="s">
        <v>38</v>
      </c>
      <c r="O916" t="s">
        <v>23</v>
      </c>
    </row>
    <row r="917" spans="1:15" x14ac:dyDescent="0.3">
      <c r="A917" s="2" t="s">
        <v>317</v>
      </c>
      <c r="B917" s="2">
        <v>45706</v>
      </c>
      <c r="C917" t="s">
        <v>40</v>
      </c>
      <c r="D917" t="s">
        <v>17</v>
      </c>
      <c r="E917" t="s">
        <v>85</v>
      </c>
      <c r="F917" t="s">
        <v>85</v>
      </c>
      <c r="G917" s="6">
        <v>2</v>
      </c>
      <c r="H917" s="3">
        <v>12000</v>
      </c>
      <c r="I917" s="5">
        <v>0.2</v>
      </c>
      <c r="J917" s="4">
        <v>1927.09</v>
      </c>
      <c r="K917" t="s">
        <v>49</v>
      </c>
      <c r="L917" t="s">
        <v>36</v>
      </c>
      <c r="M917" t="s">
        <v>101</v>
      </c>
      <c r="N917" t="s">
        <v>38</v>
      </c>
      <c r="O917" t="s">
        <v>44</v>
      </c>
    </row>
    <row r="918" spans="1:15" x14ac:dyDescent="0.3">
      <c r="A918" s="2" t="s">
        <v>1175</v>
      </c>
      <c r="B918" s="2">
        <v>45977</v>
      </c>
      <c r="C918" t="s">
        <v>309</v>
      </c>
      <c r="D918" t="s">
        <v>17</v>
      </c>
      <c r="E918" t="s">
        <v>110</v>
      </c>
      <c r="F918" t="s">
        <v>110</v>
      </c>
      <c r="G918" s="6">
        <v>1</v>
      </c>
      <c r="H918" s="3">
        <v>5200</v>
      </c>
      <c r="I918" s="5">
        <v>0.2</v>
      </c>
      <c r="J918" s="4">
        <v>457.92</v>
      </c>
      <c r="K918" t="s">
        <v>19</v>
      </c>
      <c r="L918" t="s">
        <v>208</v>
      </c>
      <c r="M918" t="s">
        <v>209</v>
      </c>
      <c r="N918" t="s">
        <v>31</v>
      </c>
      <c r="O918" t="s">
        <v>23</v>
      </c>
    </row>
    <row r="919" spans="1:15" x14ac:dyDescent="0.3">
      <c r="A919" s="2" t="s">
        <v>770</v>
      </c>
      <c r="B919" s="2">
        <v>45835</v>
      </c>
      <c r="C919" t="s">
        <v>559</v>
      </c>
      <c r="D919" t="s">
        <v>47</v>
      </c>
      <c r="E919" t="s">
        <v>48</v>
      </c>
      <c r="F919" t="s">
        <v>48</v>
      </c>
      <c r="G919" s="6">
        <v>1</v>
      </c>
      <c r="H919" s="3">
        <v>23250</v>
      </c>
      <c r="I919" s="5">
        <v>7.0000000000000007E-2</v>
      </c>
      <c r="J919" s="4">
        <v>2749.51</v>
      </c>
      <c r="K919" t="s">
        <v>65</v>
      </c>
      <c r="L919" t="s">
        <v>53</v>
      </c>
      <c r="M919" t="s">
        <v>54</v>
      </c>
      <c r="N919" t="s">
        <v>55</v>
      </c>
      <c r="O919" t="s">
        <v>44</v>
      </c>
    </row>
    <row r="920" spans="1:15" x14ac:dyDescent="0.3">
      <c r="A920" s="2" t="s">
        <v>653</v>
      </c>
      <c r="B920" s="2">
        <v>45796</v>
      </c>
      <c r="C920" t="s">
        <v>654</v>
      </c>
      <c r="D920" t="s">
        <v>58</v>
      </c>
      <c r="E920" t="s">
        <v>138</v>
      </c>
      <c r="F920" t="s">
        <v>138</v>
      </c>
      <c r="G920" s="6">
        <v>1</v>
      </c>
      <c r="H920" s="3">
        <v>1870</v>
      </c>
      <c r="I920" s="5">
        <v>0.15</v>
      </c>
      <c r="J920" s="4">
        <v>335.57</v>
      </c>
      <c r="K920" t="s">
        <v>65</v>
      </c>
      <c r="L920" t="s">
        <v>86</v>
      </c>
      <c r="M920" t="s">
        <v>87</v>
      </c>
      <c r="N920" t="s">
        <v>38</v>
      </c>
      <c r="O920" t="s">
        <v>23</v>
      </c>
    </row>
    <row r="921" spans="1:15" x14ac:dyDescent="0.3">
      <c r="A921" s="2" t="s">
        <v>1085</v>
      </c>
      <c r="B921" s="2">
        <v>45944</v>
      </c>
      <c r="C921" t="s">
        <v>198</v>
      </c>
      <c r="D921" t="s">
        <v>58</v>
      </c>
      <c r="E921" t="s">
        <v>178</v>
      </c>
      <c r="F921" t="s">
        <v>178</v>
      </c>
      <c r="G921" s="6">
        <v>1</v>
      </c>
      <c r="H921" s="3">
        <v>539.5</v>
      </c>
      <c r="I921" s="5">
        <v>0.17</v>
      </c>
      <c r="J921" s="4">
        <v>108.06</v>
      </c>
      <c r="K921" t="s">
        <v>65</v>
      </c>
      <c r="L921" t="s">
        <v>20</v>
      </c>
      <c r="M921" t="s">
        <v>21</v>
      </c>
      <c r="N921" t="s">
        <v>22</v>
      </c>
      <c r="O921" t="s">
        <v>44</v>
      </c>
    </row>
    <row r="922" spans="1:15" x14ac:dyDescent="0.3">
      <c r="A922" s="2" t="s">
        <v>609</v>
      </c>
      <c r="B922" s="2">
        <v>45785</v>
      </c>
      <c r="C922" t="s">
        <v>287</v>
      </c>
      <c r="D922" t="s">
        <v>47</v>
      </c>
      <c r="E922" t="s">
        <v>214</v>
      </c>
      <c r="F922" t="s">
        <v>214</v>
      </c>
      <c r="G922" s="6">
        <v>1</v>
      </c>
      <c r="H922" s="3">
        <v>783</v>
      </c>
      <c r="I922" s="5">
        <v>0.13</v>
      </c>
      <c r="J922" s="4">
        <v>133.88999999999999</v>
      </c>
      <c r="K922" t="s">
        <v>28</v>
      </c>
      <c r="L922" t="s">
        <v>42</v>
      </c>
      <c r="M922" t="s">
        <v>43</v>
      </c>
      <c r="N922" t="s">
        <v>22</v>
      </c>
      <c r="O922" t="s">
        <v>23</v>
      </c>
    </row>
    <row r="923" spans="1:15" x14ac:dyDescent="0.3">
      <c r="A923" s="2" t="s">
        <v>627</v>
      </c>
      <c r="B923" s="2">
        <v>45788</v>
      </c>
      <c r="C923" t="s">
        <v>296</v>
      </c>
      <c r="D923" t="s">
        <v>95</v>
      </c>
      <c r="E923" t="s">
        <v>125</v>
      </c>
      <c r="F923" t="s">
        <v>125</v>
      </c>
      <c r="G923" s="6">
        <v>2</v>
      </c>
      <c r="H923" s="3">
        <v>3168</v>
      </c>
      <c r="I923" s="5">
        <v>0.12</v>
      </c>
      <c r="J923" s="4">
        <v>654.04999999999995</v>
      </c>
      <c r="K923" t="s">
        <v>19</v>
      </c>
      <c r="L923" t="s">
        <v>159</v>
      </c>
      <c r="M923" t="s">
        <v>160</v>
      </c>
      <c r="N923" t="s">
        <v>38</v>
      </c>
      <c r="O923" t="s">
        <v>23</v>
      </c>
    </row>
    <row r="924" spans="1:15" x14ac:dyDescent="0.3">
      <c r="A924" s="2" t="s">
        <v>373</v>
      </c>
      <c r="B924" s="2">
        <v>45718</v>
      </c>
      <c r="C924" t="s">
        <v>231</v>
      </c>
      <c r="D924" t="s">
        <v>47</v>
      </c>
      <c r="E924" t="s">
        <v>214</v>
      </c>
      <c r="F924" t="s">
        <v>214</v>
      </c>
      <c r="G924" s="6">
        <v>3</v>
      </c>
      <c r="H924" s="3">
        <v>2349</v>
      </c>
      <c r="I924" s="5">
        <v>0.13</v>
      </c>
      <c r="J924" s="4">
        <v>418.3</v>
      </c>
      <c r="K924" t="s">
        <v>49</v>
      </c>
      <c r="L924" t="s">
        <v>53</v>
      </c>
      <c r="M924" t="s">
        <v>54</v>
      </c>
      <c r="N924" t="s">
        <v>55</v>
      </c>
      <c r="O924" t="s">
        <v>23</v>
      </c>
    </row>
    <row r="925" spans="1:15" x14ac:dyDescent="0.3">
      <c r="A925" s="2" t="s">
        <v>466</v>
      </c>
      <c r="B925" s="2">
        <v>45739</v>
      </c>
      <c r="C925" t="s">
        <v>467</v>
      </c>
      <c r="D925" t="s">
        <v>26</v>
      </c>
      <c r="E925" t="s">
        <v>188</v>
      </c>
      <c r="F925" t="s">
        <v>188</v>
      </c>
      <c r="G925" s="6">
        <v>2</v>
      </c>
      <c r="H925" s="3">
        <v>4980</v>
      </c>
      <c r="I925" s="5">
        <v>0.17</v>
      </c>
      <c r="J925" s="4">
        <v>791.18</v>
      </c>
      <c r="K925" t="s">
        <v>52</v>
      </c>
      <c r="L925" t="s">
        <v>134</v>
      </c>
      <c r="M925" t="s">
        <v>135</v>
      </c>
      <c r="N925" t="s">
        <v>55</v>
      </c>
      <c r="O925" t="s">
        <v>23</v>
      </c>
    </row>
    <row r="926" spans="1:15" x14ac:dyDescent="0.3">
      <c r="A926" s="2" t="s">
        <v>1039</v>
      </c>
      <c r="B926" s="2">
        <v>45928</v>
      </c>
      <c r="C926" t="s">
        <v>654</v>
      </c>
      <c r="D926" t="s">
        <v>95</v>
      </c>
      <c r="E926" t="s">
        <v>96</v>
      </c>
      <c r="F926" t="s">
        <v>96</v>
      </c>
      <c r="G926" s="6">
        <v>2</v>
      </c>
      <c r="H926" s="3">
        <v>1458</v>
      </c>
      <c r="I926" s="5">
        <v>0.19</v>
      </c>
      <c r="J926" s="4">
        <v>256.42</v>
      </c>
      <c r="K926" t="s">
        <v>28</v>
      </c>
      <c r="L926" t="s">
        <v>42</v>
      </c>
      <c r="M926" t="s">
        <v>43</v>
      </c>
      <c r="N926" t="s">
        <v>22</v>
      </c>
      <c r="O926" t="s">
        <v>23</v>
      </c>
    </row>
    <row r="927" spans="1:15" x14ac:dyDescent="0.3">
      <c r="A927" s="2" t="s">
        <v>1189</v>
      </c>
      <c r="B927" s="2">
        <v>45983</v>
      </c>
      <c r="C927" t="s">
        <v>190</v>
      </c>
      <c r="D927" t="s">
        <v>47</v>
      </c>
      <c r="E927" t="s">
        <v>214</v>
      </c>
      <c r="F927" t="s">
        <v>214</v>
      </c>
      <c r="G927" s="6">
        <v>2</v>
      </c>
      <c r="H927" s="3">
        <v>1620</v>
      </c>
      <c r="I927" s="5">
        <v>0.1</v>
      </c>
      <c r="J927" s="4">
        <v>289.36</v>
      </c>
      <c r="K927" t="s">
        <v>65</v>
      </c>
      <c r="L927" t="s">
        <v>29</v>
      </c>
      <c r="M927" t="s">
        <v>30</v>
      </c>
      <c r="N927" t="s">
        <v>31</v>
      </c>
      <c r="O927" t="s">
        <v>23</v>
      </c>
    </row>
    <row r="928" spans="1:15" x14ac:dyDescent="0.3">
      <c r="A928" s="2" t="s">
        <v>544</v>
      </c>
      <c r="B928" s="2">
        <v>45762</v>
      </c>
      <c r="C928" t="s">
        <v>145</v>
      </c>
      <c r="D928" t="s">
        <v>47</v>
      </c>
      <c r="E928" t="s">
        <v>48</v>
      </c>
      <c r="F928" t="s">
        <v>48</v>
      </c>
      <c r="G928" s="6">
        <v>3</v>
      </c>
      <c r="H928" s="3">
        <v>67500</v>
      </c>
      <c r="I928" s="5">
        <v>0.1</v>
      </c>
      <c r="J928" s="4">
        <v>3435.7</v>
      </c>
      <c r="K928" t="s">
        <v>49</v>
      </c>
      <c r="L928" t="s">
        <v>36</v>
      </c>
      <c r="M928" t="s">
        <v>37</v>
      </c>
      <c r="N928" t="s">
        <v>38</v>
      </c>
      <c r="O928" t="s">
        <v>23</v>
      </c>
    </row>
    <row r="929" spans="1:15" x14ac:dyDescent="0.3">
      <c r="A929" s="2" t="s">
        <v>395</v>
      </c>
      <c r="B929" s="2">
        <v>45723</v>
      </c>
      <c r="C929" t="s">
        <v>192</v>
      </c>
      <c r="D929" t="s">
        <v>26</v>
      </c>
      <c r="E929" t="s">
        <v>118</v>
      </c>
      <c r="F929" t="s">
        <v>118</v>
      </c>
      <c r="G929" s="6">
        <v>4</v>
      </c>
      <c r="H929" s="3">
        <v>5760</v>
      </c>
      <c r="I929" s="5">
        <v>0.2</v>
      </c>
      <c r="J929" s="4">
        <v>831.57</v>
      </c>
      <c r="K929" t="s">
        <v>75</v>
      </c>
      <c r="L929" t="s">
        <v>70</v>
      </c>
      <c r="M929" t="s">
        <v>71</v>
      </c>
      <c r="N929" t="s">
        <v>55</v>
      </c>
      <c r="O929" t="s">
        <v>23</v>
      </c>
    </row>
    <row r="930" spans="1:15" x14ac:dyDescent="0.3">
      <c r="A930" s="2" t="s">
        <v>576</v>
      </c>
      <c r="B930" s="2">
        <v>45771</v>
      </c>
      <c r="C930" t="s">
        <v>463</v>
      </c>
      <c r="D930" t="s">
        <v>68</v>
      </c>
      <c r="E930" t="s">
        <v>69</v>
      </c>
      <c r="F930" t="s">
        <v>69</v>
      </c>
      <c r="G930" s="6">
        <v>4</v>
      </c>
      <c r="H930" s="3">
        <v>1440</v>
      </c>
      <c r="I930" s="5">
        <v>0.28000000000000003</v>
      </c>
      <c r="J930" s="4">
        <v>333.88</v>
      </c>
      <c r="K930" t="s">
        <v>19</v>
      </c>
      <c r="L930" t="s">
        <v>36</v>
      </c>
      <c r="M930" t="s">
        <v>128</v>
      </c>
      <c r="N930" t="s">
        <v>38</v>
      </c>
      <c r="O930" t="s">
        <v>23</v>
      </c>
    </row>
    <row r="931" spans="1:15" x14ac:dyDescent="0.3">
      <c r="A931" s="2" t="s">
        <v>982</v>
      </c>
      <c r="B931" s="2">
        <v>45903</v>
      </c>
      <c r="C931" t="s">
        <v>226</v>
      </c>
      <c r="D931" t="s">
        <v>26</v>
      </c>
      <c r="E931" t="s">
        <v>27</v>
      </c>
      <c r="F931" t="s">
        <v>27</v>
      </c>
      <c r="G931" s="6">
        <v>2</v>
      </c>
      <c r="H931" s="3">
        <v>2212</v>
      </c>
      <c r="I931" s="5">
        <v>0.21</v>
      </c>
      <c r="J931" s="4">
        <v>423.85</v>
      </c>
      <c r="K931" t="s">
        <v>28</v>
      </c>
      <c r="L931" t="s">
        <v>97</v>
      </c>
      <c r="M931" t="s">
        <v>98</v>
      </c>
      <c r="N931" t="s">
        <v>31</v>
      </c>
      <c r="O931" t="s">
        <v>44</v>
      </c>
    </row>
    <row r="932" spans="1:15" x14ac:dyDescent="0.3">
      <c r="A932" s="2" t="s">
        <v>594</v>
      </c>
      <c r="B932" s="2">
        <v>45782</v>
      </c>
      <c r="C932" t="s">
        <v>554</v>
      </c>
      <c r="D932" t="s">
        <v>47</v>
      </c>
      <c r="E932" t="s">
        <v>194</v>
      </c>
      <c r="F932" t="s">
        <v>194</v>
      </c>
      <c r="G932" s="6">
        <v>2</v>
      </c>
      <c r="H932" s="3">
        <v>101200</v>
      </c>
      <c r="I932" s="5">
        <v>0.08</v>
      </c>
      <c r="J932" s="4">
        <v>11823.91</v>
      </c>
      <c r="K932" t="s">
        <v>65</v>
      </c>
      <c r="L932" t="s">
        <v>149</v>
      </c>
      <c r="M932" t="s">
        <v>150</v>
      </c>
      <c r="N932" t="s">
        <v>38</v>
      </c>
      <c r="O932" t="s">
        <v>23</v>
      </c>
    </row>
    <row r="933" spans="1:15" x14ac:dyDescent="0.3">
      <c r="A933" s="2" t="s">
        <v>931</v>
      </c>
      <c r="B933" s="2">
        <v>45885</v>
      </c>
      <c r="C933" t="s">
        <v>828</v>
      </c>
      <c r="D933" t="s">
        <v>47</v>
      </c>
      <c r="E933" t="s">
        <v>48</v>
      </c>
      <c r="F933" t="s">
        <v>48</v>
      </c>
      <c r="G933" s="6">
        <v>5</v>
      </c>
      <c r="H933" s="3">
        <v>110000</v>
      </c>
      <c r="I933" s="5">
        <v>0.12</v>
      </c>
      <c r="J933" s="4">
        <v>15312.01</v>
      </c>
      <c r="K933" t="s">
        <v>19</v>
      </c>
      <c r="L933" t="s">
        <v>121</v>
      </c>
      <c r="M933" t="s">
        <v>122</v>
      </c>
      <c r="N933" t="s">
        <v>55</v>
      </c>
      <c r="O933" t="s">
        <v>44</v>
      </c>
    </row>
    <row r="934" spans="1:15" x14ac:dyDescent="0.3">
      <c r="A934" s="2" t="s">
        <v>565</v>
      </c>
      <c r="B934" s="2">
        <v>45767</v>
      </c>
      <c r="C934" t="s">
        <v>566</v>
      </c>
      <c r="D934" t="s">
        <v>26</v>
      </c>
      <c r="E934" t="s">
        <v>27</v>
      </c>
      <c r="F934" t="s">
        <v>27</v>
      </c>
      <c r="G934" s="6">
        <v>2</v>
      </c>
      <c r="H934" s="3">
        <v>2156</v>
      </c>
      <c r="I934" s="5">
        <v>0.23</v>
      </c>
      <c r="J934" s="4">
        <v>359.82</v>
      </c>
      <c r="K934" t="s">
        <v>19</v>
      </c>
      <c r="L934" t="s">
        <v>159</v>
      </c>
      <c r="M934" t="s">
        <v>160</v>
      </c>
      <c r="N934" t="s">
        <v>38</v>
      </c>
      <c r="O934" t="s">
        <v>44</v>
      </c>
    </row>
    <row r="935" spans="1:15" x14ac:dyDescent="0.3">
      <c r="A935" s="2" t="s">
        <v>471</v>
      </c>
      <c r="B935" s="2">
        <v>45742</v>
      </c>
      <c r="C935" t="s">
        <v>472</v>
      </c>
      <c r="D935" t="s">
        <v>17</v>
      </c>
      <c r="E935" t="s">
        <v>90</v>
      </c>
      <c r="F935" t="s">
        <v>90</v>
      </c>
      <c r="G935" s="6">
        <v>3</v>
      </c>
      <c r="H935" s="3">
        <v>13200</v>
      </c>
      <c r="I935" s="5">
        <v>0.12</v>
      </c>
      <c r="J935" s="4">
        <v>1756.59</v>
      </c>
      <c r="K935" t="s">
        <v>49</v>
      </c>
      <c r="L935" t="s">
        <v>20</v>
      </c>
      <c r="M935" t="s">
        <v>21</v>
      </c>
      <c r="N935" t="s">
        <v>22</v>
      </c>
      <c r="O935" t="s">
        <v>23</v>
      </c>
    </row>
    <row r="936" spans="1:15" x14ac:dyDescent="0.3">
      <c r="A936" s="2" t="s">
        <v>1272</v>
      </c>
      <c r="B936" s="2">
        <v>46011</v>
      </c>
      <c r="C936" t="s">
        <v>677</v>
      </c>
      <c r="D936" t="s">
        <v>17</v>
      </c>
      <c r="E936" t="s">
        <v>85</v>
      </c>
      <c r="F936" t="s">
        <v>85</v>
      </c>
      <c r="G936" s="6">
        <v>1</v>
      </c>
      <c r="H936" s="3">
        <v>6450</v>
      </c>
      <c r="I936" s="5">
        <v>0.14000000000000001</v>
      </c>
      <c r="J936" s="4">
        <v>1264.0899999999999</v>
      </c>
      <c r="K936" t="s">
        <v>19</v>
      </c>
      <c r="L936" t="s">
        <v>86</v>
      </c>
      <c r="M936" t="s">
        <v>87</v>
      </c>
      <c r="N936" t="s">
        <v>38</v>
      </c>
      <c r="O936" t="s">
        <v>23</v>
      </c>
    </row>
    <row r="937" spans="1:15" x14ac:dyDescent="0.3">
      <c r="A937" s="2" t="s">
        <v>498</v>
      </c>
      <c r="B937" s="2">
        <v>45750</v>
      </c>
      <c r="C937" t="s">
        <v>249</v>
      </c>
      <c r="D937" t="s">
        <v>26</v>
      </c>
      <c r="E937" t="s">
        <v>27</v>
      </c>
      <c r="F937" t="s">
        <v>27</v>
      </c>
      <c r="G937" s="6">
        <v>5</v>
      </c>
      <c r="H937" s="3">
        <v>5670</v>
      </c>
      <c r="I937" s="5">
        <v>0.19</v>
      </c>
      <c r="J937" s="4">
        <v>1218.8599999999999</v>
      </c>
      <c r="K937" t="s">
        <v>75</v>
      </c>
      <c r="L937" t="s">
        <v>159</v>
      </c>
      <c r="M937" t="s">
        <v>160</v>
      </c>
      <c r="N937" t="s">
        <v>38</v>
      </c>
      <c r="O937" t="s">
        <v>44</v>
      </c>
    </row>
    <row r="938" spans="1:15" x14ac:dyDescent="0.3">
      <c r="A938" s="2" t="s">
        <v>808</v>
      </c>
      <c r="B938" s="2">
        <v>45848</v>
      </c>
      <c r="C938" t="s">
        <v>261</v>
      </c>
      <c r="D938" t="s">
        <v>26</v>
      </c>
      <c r="E938" t="s">
        <v>133</v>
      </c>
      <c r="F938" t="s">
        <v>133</v>
      </c>
      <c r="G938" s="6">
        <v>1</v>
      </c>
      <c r="H938" s="3">
        <v>2352</v>
      </c>
      <c r="I938" s="5">
        <v>0.16</v>
      </c>
      <c r="J938" s="4">
        <v>434.7</v>
      </c>
      <c r="K938" t="s">
        <v>49</v>
      </c>
      <c r="L938" t="s">
        <v>121</v>
      </c>
      <c r="M938" t="s">
        <v>122</v>
      </c>
      <c r="N938" t="s">
        <v>55</v>
      </c>
      <c r="O938" t="s">
        <v>23</v>
      </c>
    </row>
    <row r="939" spans="1:15" x14ac:dyDescent="0.3">
      <c r="A939" s="2" t="s">
        <v>243</v>
      </c>
      <c r="B939" s="2">
        <v>45691</v>
      </c>
      <c r="C939" t="s">
        <v>244</v>
      </c>
      <c r="D939" t="s">
        <v>68</v>
      </c>
      <c r="E939" t="s">
        <v>69</v>
      </c>
      <c r="F939" t="s">
        <v>69</v>
      </c>
      <c r="G939" s="6">
        <v>2</v>
      </c>
      <c r="H939" s="3">
        <v>710</v>
      </c>
      <c r="I939" s="5">
        <v>0.28999999999999998</v>
      </c>
      <c r="J939" s="4">
        <v>133.72</v>
      </c>
      <c r="K939" t="s">
        <v>75</v>
      </c>
      <c r="L939" t="s">
        <v>159</v>
      </c>
      <c r="M939" t="s">
        <v>160</v>
      </c>
      <c r="N939" t="s">
        <v>38</v>
      </c>
      <c r="O939" t="s">
        <v>44</v>
      </c>
    </row>
    <row r="940" spans="1:15" x14ac:dyDescent="0.3">
      <c r="A940" s="2" t="s">
        <v>462</v>
      </c>
      <c r="B940" s="2">
        <v>45738</v>
      </c>
      <c r="C940" t="s">
        <v>463</v>
      </c>
      <c r="D940" t="s">
        <v>95</v>
      </c>
      <c r="E940" t="s">
        <v>104</v>
      </c>
      <c r="F940" t="s">
        <v>104</v>
      </c>
      <c r="G940" s="6">
        <v>3</v>
      </c>
      <c r="H940" s="3">
        <v>8505</v>
      </c>
      <c r="I940" s="5">
        <v>0.19</v>
      </c>
      <c r="J940" s="4">
        <v>1533.61</v>
      </c>
      <c r="K940" t="s">
        <v>49</v>
      </c>
      <c r="L940" t="s">
        <v>170</v>
      </c>
      <c r="M940" t="s">
        <v>171</v>
      </c>
      <c r="N940" t="s">
        <v>31</v>
      </c>
      <c r="O940" t="s">
        <v>23</v>
      </c>
    </row>
    <row r="941" spans="1:15" x14ac:dyDescent="0.3">
      <c r="A941" s="2" t="s">
        <v>93</v>
      </c>
      <c r="B941" s="2">
        <v>45665</v>
      </c>
      <c r="C941" t="s">
        <v>94</v>
      </c>
      <c r="D941" t="s">
        <v>95</v>
      </c>
      <c r="E941" t="s">
        <v>96</v>
      </c>
      <c r="F941" t="s">
        <v>96</v>
      </c>
      <c r="G941" s="6">
        <v>1</v>
      </c>
      <c r="H941" s="3">
        <v>729</v>
      </c>
      <c r="I941" s="5">
        <v>0.19</v>
      </c>
      <c r="J941" s="4">
        <v>144.36000000000001</v>
      </c>
      <c r="K941" t="s">
        <v>49</v>
      </c>
      <c r="L941" t="s">
        <v>97</v>
      </c>
      <c r="M941" t="s">
        <v>98</v>
      </c>
      <c r="N941" t="s">
        <v>31</v>
      </c>
      <c r="O941" t="s">
        <v>23</v>
      </c>
    </row>
    <row r="942" spans="1:15" x14ac:dyDescent="0.3">
      <c r="A942" s="2" t="s">
        <v>1027</v>
      </c>
      <c r="B942" s="2">
        <v>45925</v>
      </c>
      <c r="C942" t="s">
        <v>700</v>
      </c>
      <c r="D942" t="s">
        <v>95</v>
      </c>
      <c r="E942" t="s">
        <v>96</v>
      </c>
      <c r="F942" t="s">
        <v>96</v>
      </c>
      <c r="G942" s="6">
        <v>3</v>
      </c>
      <c r="H942" s="3">
        <v>2376</v>
      </c>
      <c r="I942" s="5">
        <v>0.12</v>
      </c>
      <c r="J942" s="4">
        <v>447.64</v>
      </c>
      <c r="K942" t="s">
        <v>52</v>
      </c>
      <c r="L942" t="s">
        <v>60</v>
      </c>
      <c r="M942" t="s">
        <v>61</v>
      </c>
      <c r="N942" t="s">
        <v>38</v>
      </c>
      <c r="O942" t="s">
        <v>23</v>
      </c>
    </row>
    <row r="943" spans="1:15" x14ac:dyDescent="0.3">
      <c r="A943" s="2" t="s">
        <v>902</v>
      </c>
      <c r="B943" s="2">
        <v>45875</v>
      </c>
      <c r="C943" t="s">
        <v>25</v>
      </c>
      <c r="D943" t="s">
        <v>34</v>
      </c>
      <c r="E943" t="s">
        <v>227</v>
      </c>
      <c r="F943" t="s">
        <v>227</v>
      </c>
      <c r="G943" s="6">
        <v>3</v>
      </c>
      <c r="H943" s="3">
        <v>17940</v>
      </c>
      <c r="I943" s="5">
        <v>0.08</v>
      </c>
      <c r="J943" s="4">
        <v>2599.4899999999998</v>
      </c>
      <c r="K943" t="s">
        <v>49</v>
      </c>
      <c r="L943" t="s">
        <v>121</v>
      </c>
      <c r="M943" t="s">
        <v>122</v>
      </c>
      <c r="N943" t="s">
        <v>55</v>
      </c>
      <c r="O943" t="s">
        <v>44</v>
      </c>
    </row>
    <row r="944" spans="1:15" x14ac:dyDescent="0.3">
      <c r="A944" s="2" t="s">
        <v>151</v>
      </c>
      <c r="B944" s="2">
        <v>45675</v>
      </c>
      <c r="C944" t="s">
        <v>152</v>
      </c>
      <c r="D944" t="s">
        <v>68</v>
      </c>
      <c r="E944" t="s">
        <v>153</v>
      </c>
      <c r="F944" t="s">
        <v>153</v>
      </c>
      <c r="G944" s="6">
        <v>5</v>
      </c>
      <c r="H944" s="3">
        <v>5160</v>
      </c>
      <c r="I944" s="5">
        <v>0.14000000000000001</v>
      </c>
      <c r="J944" s="4">
        <v>1084.78</v>
      </c>
      <c r="K944" t="s">
        <v>52</v>
      </c>
      <c r="L944" t="s">
        <v>36</v>
      </c>
      <c r="M944" t="s">
        <v>128</v>
      </c>
      <c r="N944" t="s">
        <v>38</v>
      </c>
      <c r="O944" t="s">
        <v>23</v>
      </c>
    </row>
    <row r="945" spans="1:15" x14ac:dyDescent="0.3">
      <c r="A945" s="2" t="s">
        <v>613</v>
      </c>
      <c r="B945" s="2">
        <v>45785</v>
      </c>
      <c r="C945" t="s">
        <v>114</v>
      </c>
      <c r="D945" t="s">
        <v>34</v>
      </c>
      <c r="E945" t="s">
        <v>35</v>
      </c>
      <c r="F945" t="s">
        <v>35</v>
      </c>
      <c r="G945" s="6">
        <v>3</v>
      </c>
      <c r="H945" s="3">
        <v>3204</v>
      </c>
      <c r="I945" s="5">
        <v>0.11</v>
      </c>
      <c r="J945" s="4">
        <v>624.25</v>
      </c>
      <c r="K945" t="s">
        <v>75</v>
      </c>
      <c r="L945" t="s">
        <v>86</v>
      </c>
      <c r="M945" t="s">
        <v>87</v>
      </c>
      <c r="N945" t="s">
        <v>38</v>
      </c>
      <c r="O945" t="s">
        <v>44</v>
      </c>
    </row>
    <row r="946" spans="1:15" x14ac:dyDescent="0.3">
      <c r="A946" s="2" t="s">
        <v>1117</v>
      </c>
      <c r="B946" s="2">
        <v>45955</v>
      </c>
      <c r="C946" t="s">
        <v>364</v>
      </c>
      <c r="D946" t="s">
        <v>68</v>
      </c>
      <c r="E946" t="s">
        <v>237</v>
      </c>
      <c r="F946" t="s">
        <v>237</v>
      </c>
      <c r="G946" s="6">
        <v>3</v>
      </c>
      <c r="H946" s="3">
        <v>2241</v>
      </c>
      <c r="I946" s="5">
        <v>0.17</v>
      </c>
      <c r="J946" s="4">
        <v>334.86</v>
      </c>
      <c r="K946" t="s">
        <v>52</v>
      </c>
      <c r="L946" t="s">
        <v>36</v>
      </c>
      <c r="M946" t="s">
        <v>101</v>
      </c>
      <c r="N946" t="s">
        <v>38</v>
      </c>
      <c r="O946" t="s">
        <v>23</v>
      </c>
    </row>
    <row r="947" spans="1:15" x14ac:dyDescent="0.3">
      <c r="A947" s="2" t="s">
        <v>992</v>
      </c>
      <c r="B947" s="2">
        <v>45908</v>
      </c>
      <c r="C947" t="s">
        <v>147</v>
      </c>
      <c r="D947" t="s">
        <v>47</v>
      </c>
      <c r="E947" t="s">
        <v>82</v>
      </c>
      <c r="F947" t="s">
        <v>82</v>
      </c>
      <c r="G947" s="6">
        <v>2</v>
      </c>
      <c r="H947" s="3">
        <v>6090</v>
      </c>
      <c r="I947" s="5">
        <v>0.13</v>
      </c>
      <c r="J947" s="4">
        <v>516.59</v>
      </c>
      <c r="K947" t="s">
        <v>19</v>
      </c>
      <c r="L947" t="s">
        <v>149</v>
      </c>
      <c r="M947" t="s">
        <v>175</v>
      </c>
      <c r="N947" t="s">
        <v>38</v>
      </c>
      <c r="O947" t="s">
        <v>23</v>
      </c>
    </row>
    <row r="948" spans="1:15" x14ac:dyDescent="0.3">
      <c r="A948" s="2" t="s">
        <v>461</v>
      </c>
      <c r="B948" s="2">
        <v>45738</v>
      </c>
      <c r="C948" t="s">
        <v>383</v>
      </c>
      <c r="D948" t="s">
        <v>26</v>
      </c>
      <c r="E948" t="s">
        <v>188</v>
      </c>
      <c r="F948" t="s">
        <v>188</v>
      </c>
      <c r="G948" s="6">
        <v>1</v>
      </c>
      <c r="H948" s="3">
        <v>2670</v>
      </c>
      <c r="I948" s="5">
        <v>0.11</v>
      </c>
      <c r="J948" s="4">
        <v>365.68</v>
      </c>
      <c r="K948" t="s">
        <v>49</v>
      </c>
      <c r="L948" t="s">
        <v>149</v>
      </c>
      <c r="M948" t="s">
        <v>175</v>
      </c>
      <c r="N948" t="s">
        <v>38</v>
      </c>
      <c r="O948" t="s">
        <v>23</v>
      </c>
    </row>
    <row r="949" spans="1:15" x14ac:dyDescent="0.3">
      <c r="A949" s="2" t="s">
        <v>1100</v>
      </c>
      <c r="B949" s="2">
        <v>45948</v>
      </c>
      <c r="C949" t="s">
        <v>322</v>
      </c>
      <c r="D949" t="s">
        <v>26</v>
      </c>
      <c r="E949" t="s">
        <v>118</v>
      </c>
      <c r="F949" t="s">
        <v>118</v>
      </c>
      <c r="G949" s="6">
        <v>1</v>
      </c>
      <c r="H949" s="3">
        <v>1512</v>
      </c>
      <c r="I949" s="5">
        <v>0.16</v>
      </c>
      <c r="J949" s="4">
        <v>243.38</v>
      </c>
      <c r="K949" t="s">
        <v>52</v>
      </c>
      <c r="L949" t="s">
        <v>121</v>
      </c>
      <c r="M949" t="s">
        <v>122</v>
      </c>
      <c r="N949" t="s">
        <v>55</v>
      </c>
      <c r="O949" t="s">
        <v>44</v>
      </c>
    </row>
    <row r="950" spans="1:15" x14ac:dyDescent="0.3">
      <c r="A950" s="2" t="s">
        <v>354</v>
      </c>
      <c r="B950" s="2">
        <v>45713</v>
      </c>
      <c r="C950" t="s">
        <v>355</v>
      </c>
      <c r="D950" t="s">
        <v>95</v>
      </c>
      <c r="E950" t="s">
        <v>185</v>
      </c>
      <c r="F950" t="s">
        <v>185</v>
      </c>
      <c r="G950" s="6">
        <v>5</v>
      </c>
      <c r="H950" s="3">
        <v>4740</v>
      </c>
      <c r="I950" s="5">
        <v>0.21</v>
      </c>
      <c r="J950" s="4">
        <v>560.9</v>
      </c>
      <c r="K950" t="s">
        <v>65</v>
      </c>
      <c r="L950" t="s">
        <v>42</v>
      </c>
      <c r="M950" t="s">
        <v>43</v>
      </c>
      <c r="N950" t="s">
        <v>22</v>
      </c>
      <c r="O950" t="s">
        <v>23</v>
      </c>
    </row>
    <row r="951" spans="1:15" x14ac:dyDescent="0.3">
      <c r="A951" s="2" t="s">
        <v>1191</v>
      </c>
      <c r="B951" s="2">
        <v>45984</v>
      </c>
      <c r="C951" t="s">
        <v>167</v>
      </c>
      <c r="D951" t="s">
        <v>17</v>
      </c>
      <c r="E951" t="s">
        <v>18</v>
      </c>
      <c r="F951" t="s">
        <v>18</v>
      </c>
      <c r="G951" s="6">
        <v>3</v>
      </c>
      <c r="H951" s="3">
        <v>76500</v>
      </c>
      <c r="I951" s="5">
        <v>0.15</v>
      </c>
      <c r="J951" s="4">
        <v>7743.37</v>
      </c>
      <c r="K951" t="s">
        <v>52</v>
      </c>
      <c r="L951" t="s">
        <v>134</v>
      </c>
      <c r="M951" t="s">
        <v>135</v>
      </c>
      <c r="N951" t="s">
        <v>55</v>
      </c>
      <c r="O951" t="s">
        <v>23</v>
      </c>
    </row>
    <row r="952" spans="1:15" x14ac:dyDescent="0.3">
      <c r="A952" s="2" t="s">
        <v>1021</v>
      </c>
      <c r="B952" s="2">
        <v>45922</v>
      </c>
      <c r="C952" t="s">
        <v>289</v>
      </c>
      <c r="D952" t="s">
        <v>47</v>
      </c>
      <c r="E952" t="s">
        <v>368</v>
      </c>
      <c r="F952" t="s">
        <v>368</v>
      </c>
      <c r="G952" s="6">
        <v>1</v>
      </c>
      <c r="H952" s="3">
        <v>1458</v>
      </c>
      <c r="I952" s="5">
        <v>0.19</v>
      </c>
      <c r="J952" s="4">
        <v>126.1</v>
      </c>
      <c r="K952" t="s">
        <v>28</v>
      </c>
      <c r="L952" t="s">
        <v>97</v>
      </c>
      <c r="M952" t="s">
        <v>98</v>
      </c>
      <c r="N952" t="s">
        <v>31</v>
      </c>
      <c r="O952" t="s">
        <v>23</v>
      </c>
    </row>
    <row r="953" spans="1:15" x14ac:dyDescent="0.3">
      <c r="A953" s="2" t="s">
        <v>176</v>
      </c>
      <c r="B953" s="2">
        <v>45677</v>
      </c>
      <c r="C953" t="s">
        <v>46</v>
      </c>
      <c r="D953" t="s">
        <v>68</v>
      </c>
      <c r="E953" t="s">
        <v>69</v>
      </c>
      <c r="F953" t="s">
        <v>69</v>
      </c>
      <c r="G953" s="6">
        <v>3</v>
      </c>
      <c r="H953" s="3">
        <v>1110</v>
      </c>
      <c r="I953" s="5">
        <v>0.26</v>
      </c>
      <c r="J953" s="4">
        <v>203.66</v>
      </c>
      <c r="K953" t="s">
        <v>75</v>
      </c>
      <c r="L953" t="s">
        <v>42</v>
      </c>
      <c r="M953" t="s">
        <v>43</v>
      </c>
      <c r="N953" t="s">
        <v>22</v>
      </c>
      <c r="O953" t="s">
        <v>44</v>
      </c>
    </row>
    <row r="954" spans="1:15" x14ac:dyDescent="0.3">
      <c r="A954" s="2" t="s">
        <v>771</v>
      </c>
      <c r="B954" s="2">
        <v>45835</v>
      </c>
      <c r="C954" t="s">
        <v>51</v>
      </c>
      <c r="D954" t="s">
        <v>17</v>
      </c>
      <c r="E954" t="s">
        <v>85</v>
      </c>
      <c r="F954" t="s">
        <v>85</v>
      </c>
      <c r="G954" s="6">
        <v>2</v>
      </c>
      <c r="H954" s="3">
        <v>12600</v>
      </c>
      <c r="I954" s="5">
        <v>0.16</v>
      </c>
      <c r="J954" s="4">
        <v>1483.06</v>
      </c>
      <c r="K954" t="s">
        <v>49</v>
      </c>
      <c r="L954" t="s">
        <v>159</v>
      </c>
      <c r="M954" t="s">
        <v>160</v>
      </c>
      <c r="N954" t="s">
        <v>38</v>
      </c>
      <c r="O954" t="s">
        <v>44</v>
      </c>
    </row>
    <row r="955" spans="1:15" x14ac:dyDescent="0.3">
      <c r="A955" s="2" t="s">
        <v>710</v>
      </c>
      <c r="B955" s="2">
        <v>45811</v>
      </c>
      <c r="C955" t="s">
        <v>331</v>
      </c>
      <c r="D955" t="s">
        <v>17</v>
      </c>
      <c r="E955" t="s">
        <v>158</v>
      </c>
      <c r="F955" t="s">
        <v>158</v>
      </c>
      <c r="G955" s="6">
        <v>5</v>
      </c>
      <c r="H955" s="3">
        <v>95700</v>
      </c>
      <c r="I955" s="5">
        <v>0.13</v>
      </c>
      <c r="J955" s="4">
        <v>14274.87</v>
      </c>
      <c r="K955" t="s">
        <v>52</v>
      </c>
      <c r="L955" t="s">
        <v>36</v>
      </c>
      <c r="M955" t="s">
        <v>101</v>
      </c>
      <c r="N955" t="s">
        <v>38</v>
      </c>
      <c r="O955" t="s">
        <v>44</v>
      </c>
    </row>
    <row r="956" spans="1:15" x14ac:dyDescent="0.3">
      <c r="A956" s="2" t="s">
        <v>1059</v>
      </c>
      <c r="B956" s="2">
        <v>45937</v>
      </c>
      <c r="C956" t="s">
        <v>165</v>
      </c>
      <c r="D956" t="s">
        <v>47</v>
      </c>
      <c r="E956" t="s">
        <v>214</v>
      </c>
      <c r="F956" t="s">
        <v>214</v>
      </c>
      <c r="G956" s="6">
        <v>4</v>
      </c>
      <c r="H956" s="3">
        <v>3168</v>
      </c>
      <c r="I956" s="5">
        <v>0.12</v>
      </c>
      <c r="J956" s="4">
        <v>467.55</v>
      </c>
      <c r="K956" t="s">
        <v>28</v>
      </c>
      <c r="L956" t="s">
        <v>159</v>
      </c>
      <c r="M956" t="s">
        <v>160</v>
      </c>
      <c r="N956" t="s">
        <v>38</v>
      </c>
      <c r="O956" t="s">
        <v>23</v>
      </c>
    </row>
    <row r="957" spans="1:15" x14ac:dyDescent="0.3">
      <c r="A957" s="2" t="s">
        <v>1283</v>
      </c>
      <c r="B957" s="2">
        <v>46016</v>
      </c>
      <c r="C957" t="s">
        <v>319</v>
      </c>
      <c r="D957" t="s">
        <v>47</v>
      </c>
      <c r="E957" t="s">
        <v>82</v>
      </c>
      <c r="F957" t="s">
        <v>82</v>
      </c>
      <c r="G957" s="6">
        <v>2</v>
      </c>
      <c r="H957" s="3">
        <v>6090</v>
      </c>
      <c r="I957" s="5">
        <v>0.13</v>
      </c>
      <c r="J957" s="4">
        <v>935.74</v>
      </c>
      <c r="K957" t="s">
        <v>28</v>
      </c>
      <c r="L957" t="s">
        <v>53</v>
      </c>
      <c r="M957" t="s">
        <v>54</v>
      </c>
      <c r="N957" t="s">
        <v>55</v>
      </c>
      <c r="O957" t="s">
        <v>23</v>
      </c>
    </row>
    <row r="958" spans="1:15" x14ac:dyDescent="0.3">
      <c r="A958" s="2" t="s">
        <v>139</v>
      </c>
      <c r="B958" s="2">
        <v>45674</v>
      </c>
      <c r="C958" t="s">
        <v>140</v>
      </c>
      <c r="D958" t="s">
        <v>26</v>
      </c>
      <c r="E958" t="s">
        <v>64</v>
      </c>
      <c r="F958" t="s">
        <v>64</v>
      </c>
      <c r="G958" s="6">
        <v>4</v>
      </c>
      <c r="H958" s="3">
        <v>2952</v>
      </c>
      <c r="I958" s="5">
        <v>0.18</v>
      </c>
      <c r="J958" s="4">
        <v>610.17999999999995</v>
      </c>
      <c r="K958" t="s">
        <v>49</v>
      </c>
      <c r="L958" t="s">
        <v>20</v>
      </c>
      <c r="M958" t="s">
        <v>21</v>
      </c>
      <c r="N958" t="s">
        <v>22</v>
      </c>
      <c r="O958" t="s">
        <v>23</v>
      </c>
    </row>
    <row r="959" spans="1:15" x14ac:dyDescent="0.3">
      <c r="A959" s="2" t="s">
        <v>560</v>
      </c>
      <c r="B959" s="2">
        <v>45765</v>
      </c>
      <c r="C959" t="s">
        <v>142</v>
      </c>
      <c r="D959" t="s">
        <v>47</v>
      </c>
      <c r="E959" t="s">
        <v>214</v>
      </c>
      <c r="F959" t="s">
        <v>214</v>
      </c>
      <c r="G959" s="6">
        <v>3</v>
      </c>
      <c r="H959" s="3">
        <v>2295</v>
      </c>
      <c r="I959" s="5">
        <v>0.15</v>
      </c>
      <c r="J959" s="4">
        <v>292.82</v>
      </c>
      <c r="K959" t="s">
        <v>49</v>
      </c>
      <c r="L959" t="s">
        <v>121</v>
      </c>
      <c r="M959" t="s">
        <v>122</v>
      </c>
      <c r="N959" t="s">
        <v>55</v>
      </c>
      <c r="O959" t="s">
        <v>23</v>
      </c>
    </row>
    <row r="960" spans="1:15" x14ac:dyDescent="0.3">
      <c r="A960" s="2" t="s">
        <v>1005</v>
      </c>
      <c r="B960" s="2">
        <v>45913</v>
      </c>
      <c r="C960" t="s">
        <v>435</v>
      </c>
      <c r="D960" t="s">
        <v>34</v>
      </c>
      <c r="E960" t="s">
        <v>41</v>
      </c>
      <c r="F960" t="s">
        <v>41</v>
      </c>
      <c r="G960" s="6">
        <v>2</v>
      </c>
      <c r="H960" s="3">
        <v>8400</v>
      </c>
      <c r="I960" s="5">
        <v>0.16</v>
      </c>
      <c r="J960" s="4">
        <v>1112.8800000000001</v>
      </c>
      <c r="K960" t="s">
        <v>49</v>
      </c>
      <c r="L960" t="s">
        <v>60</v>
      </c>
      <c r="M960" t="s">
        <v>61</v>
      </c>
      <c r="N960" t="s">
        <v>38</v>
      </c>
      <c r="O960" t="s">
        <v>44</v>
      </c>
    </row>
    <row r="961" spans="1:15" x14ac:dyDescent="0.3">
      <c r="A961" s="2" t="s">
        <v>460</v>
      </c>
      <c r="B961" s="2">
        <v>45737</v>
      </c>
      <c r="C961" t="s">
        <v>226</v>
      </c>
      <c r="D961" t="s">
        <v>47</v>
      </c>
      <c r="E961" t="s">
        <v>82</v>
      </c>
      <c r="F961" t="s">
        <v>82</v>
      </c>
      <c r="G961" s="6">
        <v>2</v>
      </c>
      <c r="H961" s="3">
        <v>5600</v>
      </c>
      <c r="I961" s="5">
        <v>0.2</v>
      </c>
      <c r="J961" s="4">
        <v>686.5</v>
      </c>
      <c r="K961" t="s">
        <v>52</v>
      </c>
      <c r="L961" t="s">
        <v>60</v>
      </c>
      <c r="M961" t="s">
        <v>61</v>
      </c>
      <c r="N961" t="s">
        <v>38</v>
      </c>
      <c r="O961" t="s">
        <v>23</v>
      </c>
    </row>
    <row r="962" spans="1:15" x14ac:dyDescent="0.3">
      <c r="A962" s="2" t="s">
        <v>888</v>
      </c>
      <c r="B962" s="2">
        <v>45871</v>
      </c>
      <c r="C962" t="s">
        <v>196</v>
      </c>
      <c r="D962" t="s">
        <v>47</v>
      </c>
      <c r="E962" t="s">
        <v>194</v>
      </c>
      <c r="F962" t="s">
        <v>194</v>
      </c>
      <c r="G962" s="6">
        <v>2</v>
      </c>
      <c r="H962" s="3">
        <v>95700</v>
      </c>
      <c r="I962" s="5">
        <v>0.13</v>
      </c>
      <c r="J962" s="4">
        <v>15275.55</v>
      </c>
      <c r="K962" t="s">
        <v>49</v>
      </c>
      <c r="L962" t="s">
        <v>53</v>
      </c>
      <c r="M962" t="s">
        <v>54</v>
      </c>
      <c r="N962" t="s">
        <v>55</v>
      </c>
      <c r="O962" t="s">
        <v>23</v>
      </c>
    </row>
    <row r="963" spans="1:15" x14ac:dyDescent="0.3">
      <c r="A963" s="2" t="s">
        <v>652</v>
      </c>
      <c r="B963" s="2">
        <v>45796</v>
      </c>
      <c r="C963" t="s">
        <v>112</v>
      </c>
      <c r="D963" t="s">
        <v>58</v>
      </c>
      <c r="E963" t="s">
        <v>178</v>
      </c>
      <c r="F963" t="s">
        <v>178</v>
      </c>
      <c r="G963" s="6">
        <v>3</v>
      </c>
      <c r="H963" s="3">
        <v>1716</v>
      </c>
      <c r="I963" s="5">
        <v>0.12</v>
      </c>
      <c r="J963" s="4">
        <v>366.41</v>
      </c>
      <c r="K963" t="s">
        <v>28</v>
      </c>
      <c r="L963" t="s">
        <v>53</v>
      </c>
      <c r="M963" t="s">
        <v>54</v>
      </c>
      <c r="N963" t="s">
        <v>55</v>
      </c>
      <c r="O963" t="s">
        <v>23</v>
      </c>
    </row>
    <row r="964" spans="1:15" x14ac:dyDescent="0.3">
      <c r="A964" s="2" t="s">
        <v>656</v>
      </c>
      <c r="B964" s="2">
        <v>45797</v>
      </c>
      <c r="C964" t="s">
        <v>621</v>
      </c>
      <c r="D964" t="s">
        <v>95</v>
      </c>
      <c r="E964" t="s">
        <v>104</v>
      </c>
      <c r="F964" t="s">
        <v>104</v>
      </c>
      <c r="G964" s="6">
        <v>2</v>
      </c>
      <c r="H964" s="3">
        <v>6230</v>
      </c>
      <c r="I964" s="5">
        <v>0.11</v>
      </c>
      <c r="J964" s="4">
        <v>963.75</v>
      </c>
      <c r="K964" t="s">
        <v>28</v>
      </c>
      <c r="L964" t="s">
        <v>29</v>
      </c>
      <c r="M964" t="s">
        <v>30</v>
      </c>
      <c r="N964" t="s">
        <v>31</v>
      </c>
      <c r="O964" t="s">
        <v>44</v>
      </c>
    </row>
    <row r="965" spans="1:15" x14ac:dyDescent="0.3">
      <c r="A965" s="2" t="s">
        <v>1019</v>
      </c>
      <c r="B965" s="2">
        <v>45922</v>
      </c>
      <c r="C965" t="s">
        <v>402</v>
      </c>
      <c r="D965" t="s">
        <v>68</v>
      </c>
      <c r="E965" t="s">
        <v>69</v>
      </c>
      <c r="F965" t="s">
        <v>69</v>
      </c>
      <c r="G965" s="6">
        <v>2</v>
      </c>
      <c r="H965" s="3">
        <v>810</v>
      </c>
      <c r="I965" s="5">
        <v>0.19</v>
      </c>
      <c r="J965" s="4">
        <v>144.78</v>
      </c>
      <c r="K965" t="s">
        <v>28</v>
      </c>
      <c r="L965" t="s">
        <v>121</v>
      </c>
      <c r="M965" t="s">
        <v>122</v>
      </c>
      <c r="N965" t="s">
        <v>55</v>
      </c>
      <c r="O965" t="s">
        <v>23</v>
      </c>
    </row>
    <row r="966" spans="1:15" x14ac:dyDescent="0.3">
      <c r="A966" s="2" t="s">
        <v>295</v>
      </c>
      <c r="B966" s="2">
        <v>45702</v>
      </c>
      <c r="C966" t="s">
        <v>296</v>
      </c>
      <c r="D966" t="s">
        <v>58</v>
      </c>
      <c r="E966" t="s">
        <v>59</v>
      </c>
      <c r="F966" t="s">
        <v>59</v>
      </c>
      <c r="G966" s="6">
        <v>3</v>
      </c>
      <c r="H966" s="3">
        <v>1066.5</v>
      </c>
      <c r="I966" s="5">
        <v>0.21</v>
      </c>
      <c r="J966" s="4">
        <v>198.73</v>
      </c>
      <c r="K966" t="s">
        <v>28</v>
      </c>
      <c r="L966" t="s">
        <v>149</v>
      </c>
      <c r="M966" t="s">
        <v>175</v>
      </c>
      <c r="N966" t="s">
        <v>38</v>
      </c>
      <c r="O966" t="s">
        <v>23</v>
      </c>
    </row>
    <row r="967" spans="1:15" x14ac:dyDescent="0.3">
      <c r="A967" s="2" t="s">
        <v>797</v>
      </c>
      <c r="B967" s="2">
        <v>45844</v>
      </c>
      <c r="C967" t="s">
        <v>287</v>
      </c>
      <c r="D967" t="s">
        <v>47</v>
      </c>
      <c r="E967" t="s">
        <v>194</v>
      </c>
      <c r="F967" t="s">
        <v>194</v>
      </c>
      <c r="G967" s="6">
        <v>2</v>
      </c>
      <c r="H967" s="3">
        <v>103400</v>
      </c>
      <c r="I967" s="5">
        <v>0.06</v>
      </c>
      <c r="J967" s="4">
        <v>12040.29</v>
      </c>
      <c r="K967" t="s">
        <v>65</v>
      </c>
      <c r="L967" t="s">
        <v>86</v>
      </c>
      <c r="M967" t="s">
        <v>87</v>
      </c>
      <c r="N967" t="s">
        <v>38</v>
      </c>
      <c r="O967" t="s">
        <v>44</v>
      </c>
    </row>
    <row r="968" spans="1:15" x14ac:dyDescent="0.3">
      <c r="A968" s="2" t="s">
        <v>626</v>
      </c>
      <c r="B968" s="2">
        <v>45788</v>
      </c>
      <c r="C968" t="s">
        <v>167</v>
      </c>
      <c r="D968" t="s">
        <v>95</v>
      </c>
      <c r="E968" t="s">
        <v>125</v>
      </c>
      <c r="F968" t="s">
        <v>125</v>
      </c>
      <c r="G968" s="6">
        <v>2</v>
      </c>
      <c r="H968" s="3">
        <v>2736</v>
      </c>
      <c r="I968" s="5">
        <v>0.24</v>
      </c>
      <c r="J968" s="4">
        <v>378.69</v>
      </c>
      <c r="K968" t="s">
        <v>19</v>
      </c>
      <c r="L968" t="s">
        <v>70</v>
      </c>
      <c r="M968" t="s">
        <v>71</v>
      </c>
      <c r="N968" t="s">
        <v>55</v>
      </c>
      <c r="O968" t="s">
        <v>44</v>
      </c>
    </row>
    <row r="969" spans="1:15" x14ac:dyDescent="0.3">
      <c r="A969" s="2" t="s">
        <v>318</v>
      </c>
      <c r="B969" s="2">
        <v>45708</v>
      </c>
      <c r="C969" t="s">
        <v>319</v>
      </c>
      <c r="D969" t="s">
        <v>47</v>
      </c>
      <c r="E969" t="s">
        <v>224</v>
      </c>
      <c r="F969" t="s">
        <v>224</v>
      </c>
      <c r="G969" s="6">
        <v>1</v>
      </c>
      <c r="H969" s="3">
        <v>4800</v>
      </c>
      <c r="I969" s="5">
        <v>0.04</v>
      </c>
      <c r="J969" s="4">
        <v>612.66</v>
      </c>
      <c r="K969" t="s">
        <v>49</v>
      </c>
      <c r="L969" t="s">
        <v>20</v>
      </c>
      <c r="M969" t="s">
        <v>21</v>
      </c>
      <c r="N969" t="s">
        <v>22</v>
      </c>
      <c r="O969" t="s">
        <v>23</v>
      </c>
    </row>
    <row r="970" spans="1:15" x14ac:dyDescent="0.3">
      <c r="A970" s="2" t="s">
        <v>298</v>
      </c>
      <c r="B970" s="2">
        <v>45702</v>
      </c>
      <c r="C970" t="s">
        <v>299</v>
      </c>
      <c r="D970" t="s">
        <v>58</v>
      </c>
      <c r="E970" t="s">
        <v>77</v>
      </c>
      <c r="F970" t="s">
        <v>77</v>
      </c>
      <c r="G970" s="6">
        <v>4</v>
      </c>
      <c r="H970" s="3">
        <v>5904</v>
      </c>
      <c r="I970" s="5">
        <v>0.18</v>
      </c>
      <c r="J970" s="4">
        <v>894.55</v>
      </c>
      <c r="K970" t="s">
        <v>19</v>
      </c>
      <c r="L970" t="s">
        <v>36</v>
      </c>
      <c r="M970" t="s">
        <v>128</v>
      </c>
      <c r="N970" t="s">
        <v>38</v>
      </c>
      <c r="O970" t="s">
        <v>44</v>
      </c>
    </row>
    <row r="971" spans="1:15" x14ac:dyDescent="0.3">
      <c r="A971" s="2" t="s">
        <v>642</v>
      </c>
      <c r="B971" s="2">
        <v>45792</v>
      </c>
      <c r="C971" t="s">
        <v>472</v>
      </c>
      <c r="D971" t="s">
        <v>34</v>
      </c>
      <c r="E971" t="s">
        <v>107</v>
      </c>
      <c r="F971" t="s">
        <v>107</v>
      </c>
      <c r="G971" s="6">
        <v>3</v>
      </c>
      <c r="H971" s="3">
        <v>10935</v>
      </c>
      <c r="I971" s="5">
        <v>0.19</v>
      </c>
      <c r="J971" s="4">
        <v>1641.15</v>
      </c>
      <c r="K971" t="s">
        <v>52</v>
      </c>
      <c r="L971" t="s">
        <v>20</v>
      </c>
      <c r="M971" t="s">
        <v>21</v>
      </c>
      <c r="N971" t="s">
        <v>22</v>
      </c>
      <c r="O971" t="s">
        <v>44</v>
      </c>
    </row>
    <row r="972" spans="1:15" x14ac:dyDescent="0.3">
      <c r="A972" s="2" t="s">
        <v>512</v>
      </c>
      <c r="B972" s="2">
        <v>45754</v>
      </c>
      <c r="C972" t="s">
        <v>100</v>
      </c>
      <c r="D972" t="s">
        <v>34</v>
      </c>
      <c r="E972" t="s">
        <v>227</v>
      </c>
      <c r="F972" t="s">
        <v>227</v>
      </c>
      <c r="G972" s="6">
        <v>3</v>
      </c>
      <c r="H972" s="3">
        <v>16575</v>
      </c>
      <c r="I972" s="5">
        <v>0.15</v>
      </c>
      <c r="J972" s="4">
        <v>2450.91</v>
      </c>
      <c r="K972" t="s">
        <v>52</v>
      </c>
      <c r="L972" t="s">
        <v>170</v>
      </c>
      <c r="M972" t="s">
        <v>171</v>
      </c>
      <c r="N972" t="s">
        <v>31</v>
      </c>
      <c r="O972" t="s">
        <v>44</v>
      </c>
    </row>
    <row r="973" spans="1:15" x14ac:dyDescent="0.3">
      <c r="A973" s="2" t="s">
        <v>1151</v>
      </c>
      <c r="B973" s="2">
        <v>45968</v>
      </c>
      <c r="C973" t="s">
        <v>907</v>
      </c>
      <c r="D973" t="s">
        <v>95</v>
      </c>
      <c r="E973" t="s">
        <v>96</v>
      </c>
      <c r="F973" t="s">
        <v>96</v>
      </c>
      <c r="G973" s="6">
        <v>1</v>
      </c>
      <c r="H973" s="3">
        <v>711</v>
      </c>
      <c r="I973" s="5">
        <v>0.21</v>
      </c>
      <c r="J973" s="4">
        <v>136.53</v>
      </c>
      <c r="K973" t="s">
        <v>75</v>
      </c>
      <c r="L973" t="s">
        <v>36</v>
      </c>
      <c r="M973" t="s">
        <v>128</v>
      </c>
      <c r="N973" t="s">
        <v>38</v>
      </c>
      <c r="O973" t="s">
        <v>23</v>
      </c>
    </row>
    <row r="974" spans="1:15" x14ac:dyDescent="0.3">
      <c r="A974" s="2" t="s">
        <v>1124</v>
      </c>
      <c r="B974" s="2">
        <v>45958</v>
      </c>
      <c r="C974" t="s">
        <v>445</v>
      </c>
      <c r="D974" t="s">
        <v>17</v>
      </c>
      <c r="E974" t="s">
        <v>158</v>
      </c>
      <c r="F974" t="s">
        <v>158</v>
      </c>
      <c r="G974" s="6">
        <v>4</v>
      </c>
      <c r="H974" s="3">
        <v>77440</v>
      </c>
      <c r="I974" s="5">
        <v>0.12</v>
      </c>
      <c r="J974" s="4">
        <v>7031.13</v>
      </c>
      <c r="K974" t="s">
        <v>28</v>
      </c>
      <c r="L974" t="s">
        <v>42</v>
      </c>
      <c r="M974" t="s">
        <v>43</v>
      </c>
      <c r="N974" t="s">
        <v>22</v>
      </c>
      <c r="O974" t="s">
        <v>23</v>
      </c>
    </row>
    <row r="975" spans="1:15" x14ac:dyDescent="0.3">
      <c r="A975" s="2" t="s">
        <v>434</v>
      </c>
      <c r="B975" s="2">
        <v>45733</v>
      </c>
      <c r="C975" t="s">
        <v>435</v>
      </c>
      <c r="D975" t="s">
        <v>68</v>
      </c>
      <c r="E975" t="s">
        <v>69</v>
      </c>
      <c r="F975" t="s">
        <v>69</v>
      </c>
      <c r="G975" s="6">
        <v>2</v>
      </c>
      <c r="H975" s="3">
        <v>760</v>
      </c>
      <c r="I975" s="5">
        <v>0.24</v>
      </c>
      <c r="J975" s="4">
        <v>153.28</v>
      </c>
      <c r="K975" t="s">
        <v>65</v>
      </c>
      <c r="L975" t="s">
        <v>36</v>
      </c>
      <c r="M975" t="s">
        <v>128</v>
      </c>
      <c r="N975" t="s">
        <v>38</v>
      </c>
      <c r="O975" t="s">
        <v>23</v>
      </c>
    </row>
    <row r="976" spans="1:15" x14ac:dyDescent="0.3">
      <c r="A976" s="2" t="s">
        <v>1054</v>
      </c>
      <c r="B976" s="2">
        <v>45934</v>
      </c>
      <c r="C976" t="s">
        <v>319</v>
      </c>
      <c r="D976" t="s">
        <v>95</v>
      </c>
      <c r="E976" t="s">
        <v>96</v>
      </c>
      <c r="F976" t="s">
        <v>96</v>
      </c>
      <c r="G976" s="6">
        <v>3</v>
      </c>
      <c r="H976" s="3">
        <v>1971</v>
      </c>
      <c r="I976" s="5">
        <v>0.27</v>
      </c>
      <c r="J976" s="4">
        <v>407.03</v>
      </c>
      <c r="K976" t="s">
        <v>75</v>
      </c>
      <c r="L976" t="s">
        <v>121</v>
      </c>
      <c r="M976" t="s">
        <v>122</v>
      </c>
      <c r="N976" t="s">
        <v>55</v>
      </c>
      <c r="O976" t="s">
        <v>23</v>
      </c>
    </row>
    <row r="977" spans="1:15" x14ac:dyDescent="0.3">
      <c r="A977" s="2" t="s">
        <v>371</v>
      </c>
      <c r="B977" s="2">
        <v>45717</v>
      </c>
      <c r="C977" t="s">
        <v>94</v>
      </c>
      <c r="D977" t="s">
        <v>26</v>
      </c>
      <c r="E977" t="s">
        <v>27</v>
      </c>
      <c r="F977" t="s">
        <v>27</v>
      </c>
      <c r="G977" s="6">
        <v>3</v>
      </c>
      <c r="H977" s="3">
        <v>3486</v>
      </c>
      <c r="I977" s="5">
        <v>0.17</v>
      </c>
      <c r="J977" s="4">
        <v>611.12</v>
      </c>
      <c r="K977" t="s">
        <v>49</v>
      </c>
      <c r="L977" t="s">
        <v>53</v>
      </c>
      <c r="M977" t="s">
        <v>54</v>
      </c>
      <c r="N977" t="s">
        <v>55</v>
      </c>
      <c r="O977" t="s">
        <v>23</v>
      </c>
    </row>
    <row r="978" spans="1:15" x14ac:dyDescent="0.3">
      <c r="A978" s="2" t="s">
        <v>955</v>
      </c>
      <c r="B978" s="2">
        <v>45893</v>
      </c>
      <c r="C978" t="s">
        <v>84</v>
      </c>
      <c r="D978" t="s">
        <v>26</v>
      </c>
      <c r="E978" t="s">
        <v>64</v>
      </c>
      <c r="F978" t="s">
        <v>64</v>
      </c>
      <c r="G978" s="6">
        <v>1</v>
      </c>
      <c r="H978" s="3">
        <v>729</v>
      </c>
      <c r="I978" s="5">
        <v>0.19</v>
      </c>
      <c r="J978" s="4">
        <v>121.83</v>
      </c>
      <c r="K978" t="s">
        <v>49</v>
      </c>
      <c r="L978" t="s">
        <v>20</v>
      </c>
      <c r="M978" t="s">
        <v>21</v>
      </c>
      <c r="N978" t="s">
        <v>22</v>
      </c>
      <c r="O978" t="s">
        <v>23</v>
      </c>
    </row>
    <row r="979" spans="1:15" x14ac:dyDescent="0.3">
      <c r="A979" s="2" t="s">
        <v>212</v>
      </c>
      <c r="B979" s="2">
        <v>45683</v>
      </c>
      <c r="C979" t="s">
        <v>213</v>
      </c>
      <c r="D979" t="s">
        <v>47</v>
      </c>
      <c r="E979" t="s">
        <v>214</v>
      </c>
      <c r="F979" t="s">
        <v>214</v>
      </c>
      <c r="G979" s="6">
        <v>4</v>
      </c>
      <c r="H979" s="3">
        <v>3348</v>
      </c>
      <c r="I979" s="5">
        <v>7.0000000000000007E-2</v>
      </c>
      <c r="J979" s="4">
        <v>556.61</v>
      </c>
      <c r="K979" t="s">
        <v>52</v>
      </c>
      <c r="L979" t="s">
        <v>170</v>
      </c>
      <c r="M979" t="s">
        <v>171</v>
      </c>
      <c r="N979" t="s">
        <v>31</v>
      </c>
      <c r="O979" t="s">
        <v>23</v>
      </c>
    </row>
    <row r="980" spans="1:15" x14ac:dyDescent="0.3">
      <c r="A980" s="2" t="s">
        <v>282</v>
      </c>
      <c r="B980" s="2">
        <v>45700</v>
      </c>
      <c r="C980" t="s">
        <v>152</v>
      </c>
      <c r="D980" t="s">
        <v>68</v>
      </c>
      <c r="E980" t="s">
        <v>153</v>
      </c>
      <c r="F980" t="s">
        <v>153</v>
      </c>
      <c r="G980" s="6">
        <v>4</v>
      </c>
      <c r="H980" s="3">
        <v>3984</v>
      </c>
      <c r="I980" s="5">
        <v>0.17</v>
      </c>
      <c r="J980" s="4">
        <v>723.86</v>
      </c>
      <c r="K980" t="s">
        <v>65</v>
      </c>
      <c r="L980" t="s">
        <v>78</v>
      </c>
      <c r="M980" t="s">
        <v>79</v>
      </c>
      <c r="N980" t="s">
        <v>22</v>
      </c>
      <c r="O980" t="s">
        <v>23</v>
      </c>
    </row>
    <row r="981" spans="1:15" x14ac:dyDescent="0.3">
      <c r="A981" s="2" t="s">
        <v>442</v>
      </c>
      <c r="B981" s="2">
        <v>45733</v>
      </c>
      <c r="C981" t="s">
        <v>443</v>
      </c>
      <c r="D981" t="s">
        <v>95</v>
      </c>
      <c r="E981" t="s">
        <v>96</v>
      </c>
      <c r="F981" t="s">
        <v>96</v>
      </c>
      <c r="G981" s="6">
        <v>3</v>
      </c>
      <c r="H981" s="3">
        <v>2187</v>
      </c>
      <c r="I981" s="5">
        <v>0.19</v>
      </c>
      <c r="J981" s="4">
        <v>404.21</v>
      </c>
      <c r="K981" t="s">
        <v>65</v>
      </c>
      <c r="L981" t="s">
        <v>97</v>
      </c>
      <c r="M981" t="s">
        <v>98</v>
      </c>
      <c r="N981" t="s">
        <v>31</v>
      </c>
      <c r="O981" t="s">
        <v>23</v>
      </c>
    </row>
    <row r="982" spans="1:15" x14ac:dyDescent="0.3">
      <c r="A982" s="2" t="s">
        <v>910</v>
      </c>
      <c r="B982" s="2">
        <v>45878</v>
      </c>
      <c r="C982" t="s">
        <v>768</v>
      </c>
      <c r="D982" t="s">
        <v>34</v>
      </c>
      <c r="E982" t="s">
        <v>107</v>
      </c>
      <c r="F982" t="s">
        <v>107</v>
      </c>
      <c r="G982" s="6">
        <v>1</v>
      </c>
      <c r="H982" s="3">
        <v>4140</v>
      </c>
      <c r="I982" s="5">
        <v>0.08</v>
      </c>
      <c r="J982" s="4">
        <v>374.74</v>
      </c>
      <c r="K982" t="s">
        <v>75</v>
      </c>
      <c r="L982" t="s">
        <v>42</v>
      </c>
      <c r="M982" t="s">
        <v>43</v>
      </c>
      <c r="N982" t="s">
        <v>22</v>
      </c>
      <c r="O982" t="s">
        <v>23</v>
      </c>
    </row>
    <row r="983" spans="1:15" x14ac:dyDescent="0.3">
      <c r="A983" s="2" t="s">
        <v>325</v>
      </c>
      <c r="B983" s="2">
        <v>45709</v>
      </c>
      <c r="C983" t="s">
        <v>57</v>
      </c>
      <c r="D983" t="s">
        <v>17</v>
      </c>
      <c r="E983" t="s">
        <v>85</v>
      </c>
      <c r="F983" t="s">
        <v>85</v>
      </c>
      <c r="G983" s="6">
        <v>2</v>
      </c>
      <c r="H983" s="3">
        <v>11700</v>
      </c>
      <c r="I983" s="5">
        <v>0.22</v>
      </c>
      <c r="J983" s="4">
        <v>1710.77</v>
      </c>
      <c r="K983" t="s">
        <v>28</v>
      </c>
      <c r="L983" t="s">
        <v>97</v>
      </c>
      <c r="M983" t="s">
        <v>98</v>
      </c>
      <c r="N983" t="s">
        <v>31</v>
      </c>
      <c r="O983" t="s">
        <v>23</v>
      </c>
    </row>
    <row r="984" spans="1:15" x14ac:dyDescent="0.3">
      <c r="A984" s="2" t="s">
        <v>637</v>
      </c>
      <c r="B984" s="2">
        <v>45790</v>
      </c>
      <c r="C984" t="s">
        <v>145</v>
      </c>
      <c r="D984" t="s">
        <v>17</v>
      </c>
      <c r="E984" t="s">
        <v>90</v>
      </c>
      <c r="F984" t="s">
        <v>90</v>
      </c>
      <c r="G984" s="6">
        <v>4</v>
      </c>
      <c r="H984" s="3">
        <v>16600</v>
      </c>
      <c r="I984" s="5">
        <v>0.17</v>
      </c>
      <c r="J984" s="4">
        <v>2075.7199999999998</v>
      </c>
      <c r="K984" t="s">
        <v>75</v>
      </c>
      <c r="L984" t="s">
        <v>149</v>
      </c>
      <c r="M984" t="s">
        <v>150</v>
      </c>
      <c r="N984" t="s">
        <v>38</v>
      </c>
      <c r="O984" t="s">
        <v>44</v>
      </c>
    </row>
    <row r="985" spans="1:15" x14ac:dyDescent="0.3">
      <c r="A985" s="2" t="s">
        <v>835</v>
      </c>
      <c r="B985" s="2">
        <v>45855</v>
      </c>
      <c r="C985" t="s">
        <v>625</v>
      </c>
      <c r="D985" t="s">
        <v>34</v>
      </c>
      <c r="E985" t="s">
        <v>302</v>
      </c>
      <c r="F985" t="s">
        <v>302</v>
      </c>
      <c r="G985" s="6">
        <v>2</v>
      </c>
      <c r="H985" s="3">
        <v>6090</v>
      </c>
      <c r="I985" s="5">
        <v>0.13</v>
      </c>
      <c r="J985" s="4">
        <v>807.2</v>
      </c>
      <c r="K985" t="s">
        <v>49</v>
      </c>
      <c r="L985" t="s">
        <v>53</v>
      </c>
      <c r="M985" t="s">
        <v>54</v>
      </c>
      <c r="N985" t="s">
        <v>55</v>
      </c>
      <c r="O985" t="s">
        <v>44</v>
      </c>
    </row>
    <row r="986" spans="1:15" x14ac:dyDescent="0.3">
      <c r="A986" s="2" t="s">
        <v>1006</v>
      </c>
      <c r="B986" s="2">
        <v>45913</v>
      </c>
      <c r="C986" t="s">
        <v>492</v>
      </c>
      <c r="D986" t="s">
        <v>95</v>
      </c>
      <c r="E986" t="s">
        <v>185</v>
      </c>
      <c r="F986" t="s">
        <v>185</v>
      </c>
      <c r="G986" s="6">
        <v>1</v>
      </c>
      <c r="H986" s="3">
        <v>996</v>
      </c>
      <c r="I986" s="5">
        <v>0.17</v>
      </c>
      <c r="J986" s="4">
        <v>166.88</v>
      </c>
      <c r="K986" t="s">
        <v>52</v>
      </c>
      <c r="L986" t="s">
        <v>36</v>
      </c>
      <c r="M986" t="s">
        <v>37</v>
      </c>
      <c r="N986" t="s">
        <v>38</v>
      </c>
      <c r="O986" t="s">
        <v>44</v>
      </c>
    </row>
    <row r="987" spans="1:15" x14ac:dyDescent="0.3">
      <c r="A987" s="2" t="s">
        <v>870</v>
      </c>
      <c r="B987" s="2">
        <v>45868</v>
      </c>
      <c r="C987" t="s">
        <v>301</v>
      </c>
      <c r="D987" t="s">
        <v>58</v>
      </c>
      <c r="E987" t="s">
        <v>77</v>
      </c>
      <c r="F987" t="s">
        <v>77</v>
      </c>
      <c r="G987" s="6">
        <v>1</v>
      </c>
      <c r="H987" s="3">
        <v>1476</v>
      </c>
      <c r="I987" s="5">
        <v>0.18</v>
      </c>
      <c r="J987" s="4">
        <v>335.69</v>
      </c>
      <c r="K987" t="s">
        <v>49</v>
      </c>
      <c r="L987" t="s">
        <v>20</v>
      </c>
      <c r="M987" t="s">
        <v>21</v>
      </c>
      <c r="N987" t="s">
        <v>22</v>
      </c>
      <c r="O987" t="s">
        <v>23</v>
      </c>
    </row>
    <row r="988" spans="1:15" x14ac:dyDescent="0.3">
      <c r="A988" s="2" t="s">
        <v>818</v>
      </c>
      <c r="B988" s="2">
        <v>45850</v>
      </c>
      <c r="C988" t="s">
        <v>523</v>
      </c>
      <c r="D988" t="s">
        <v>17</v>
      </c>
      <c r="E988" t="s">
        <v>85</v>
      </c>
      <c r="F988" t="s">
        <v>85</v>
      </c>
      <c r="G988" s="6">
        <v>1</v>
      </c>
      <c r="H988" s="3">
        <v>5625</v>
      </c>
      <c r="I988" s="5">
        <v>0.25</v>
      </c>
      <c r="J988" s="4">
        <v>770.91</v>
      </c>
      <c r="K988" t="s">
        <v>65</v>
      </c>
      <c r="L988" t="s">
        <v>97</v>
      </c>
      <c r="M988" t="s">
        <v>163</v>
      </c>
      <c r="N988" t="s">
        <v>31</v>
      </c>
      <c r="O988" t="s">
        <v>44</v>
      </c>
    </row>
    <row r="989" spans="1:15" x14ac:dyDescent="0.3">
      <c r="A989" s="2" t="s">
        <v>789</v>
      </c>
      <c r="B989" s="2">
        <v>45841</v>
      </c>
      <c r="C989" t="s">
        <v>211</v>
      </c>
      <c r="D989" t="s">
        <v>17</v>
      </c>
      <c r="E989" t="s">
        <v>110</v>
      </c>
      <c r="F989" t="s">
        <v>110</v>
      </c>
      <c r="G989" s="6">
        <v>2</v>
      </c>
      <c r="H989" s="3">
        <v>11570</v>
      </c>
      <c r="I989" s="5">
        <v>0.11</v>
      </c>
      <c r="J989" s="4">
        <v>1065.6400000000001</v>
      </c>
      <c r="K989" t="s">
        <v>75</v>
      </c>
      <c r="L989" t="s">
        <v>36</v>
      </c>
      <c r="M989" t="s">
        <v>128</v>
      </c>
      <c r="N989" t="s">
        <v>38</v>
      </c>
      <c r="O989" t="s">
        <v>23</v>
      </c>
    </row>
    <row r="990" spans="1:15" x14ac:dyDescent="0.3">
      <c r="A990" s="2" t="s">
        <v>655</v>
      </c>
      <c r="B990" s="2">
        <v>45797</v>
      </c>
      <c r="C990" t="s">
        <v>477</v>
      </c>
      <c r="D990" t="s">
        <v>58</v>
      </c>
      <c r="E990" t="s">
        <v>59</v>
      </c>
      <c r="F990" t="s">
        <v>59</v>
      </c>
      <c r="G990" s="6">
        <v>2</v>
      </c>
      <c r="H990" s="3">
        <v>711</v>
      </c>
      <c r="I990" s="5">
        <v>0.21</v>
      </c>
      <c r="J990" s="4">
        <v>128.69</v>
      </c>
      <c r="K990" t="s">
        <v>65</v>
      </c>
      <c r="L990" t="s">
        <v>53</v>
      </c>
      <c r="M990" t="s">
        <v>54</v>
      </c>
      <c r="N990" t="s">
        <v>55</v>
      </c>
      <c r="O990" t="s">
        <v>23</v>
      </c>
    </row>
    <row r="991" spans="1:15" x14ac:dyDescent="0.3">
      <c r="A991" s="2" t="s">
        <v>1167</v>
      </c>
      <c r="B991" s="2">
        <v>45973</v>
      </c>
      <c r="C991" t="s">
        <v>450</v>
      </c>
      <c r="D991" t="s">
        <v>58</v>
      </c>
      <c r="E991" t="s">
        <v>59</v>
      </c>
      <c r="F991" t="s">
        <v>59</v>
      </c>
      <c r="G991" s="6">
        <v>3</v>
      </c>
      <c r="H991" s="3">
        <v>1134</v>
      </c>
      <c r="I991" s="5">
        <v>0.16</v>
      </c>
      <c r="J991" s="4">
        <v>133.93</v>
      </c>
      <c r="K991" t="s">
        <v>19</v>
      </c>
      <c r="L991" t="s">
        <v>97</v>
      </c>
      <c r="M991" t="s">
        <v>163</v>
      </c>
      <c r="N991" t="s">
        <v>31</v>
      </c>
      <c r="O991" t="s">
        <v>23</v>
      </c>
    </row>
    <row r="992" spans="1:15" x14ac:dyDescent="0.3">
      <c r="A992" s="2" t="s">
        <v>610</v>
      </c>
      <c r="B992" s="2">
        <v>45785</v>
      </c>
      <c r="C992" t="s">
        <v>142</v>
      </c>
      <c r="D992" t="s">
        <v>68</v>
      </c>
      <c r="E992" t="s">
        <v>120</v>
      </c>
      <c r="F992" t="s">
        <v>120</v>
      </c>
      <c r="G992" s="6">
        <v>1</v>
      </c>
      <c r="H992" s="3">
        <v>546</v>
      </c>
      <c r="I992" s="5">
        <v>0.22</v>
      </c>
      <c r="J992" s="4">
        <v>112.87</v>
      </c>
      <c r="K992" t="s">
        <v>75</v>
      </c>
      <c r="L992" t="s">
        <v>97</v>
      </c>
      <c r="M992" t="s">
        <v>98</v>
      </c>
      <c r="N992" t="s">
        <v>31</v>
      </c>
      <c r="O992" t="s">
        <v>44</v>
      </c>
    </row>
    <row r="993" spans="1:15" x14ac:dyDescent="0.3">
      <c r="A993" s="2" t="s">
        <v>631</v>
      </c>
      <c r="B993" s="2">
        <v>45789</v>
      </c>
      <c r="C993" t="s">
        <v>109</v>
      </c>
      <c r="D993" t="s">
        <v>17</v>
      </c>
      <c r="E993" t="s">
        <v>158</v>
      </c>
      <c r="F993" t="s">
        <v>158</v>
      </c>
      <c r="G993" s="6">
        <v>4</v>
      </c>
      <c r="H993" s="3">
        <v>79200</v>
      </c>
      <c r="I993" s="5">
        <v>0.1</v>
      </c>
      <c r="J993" s="4">
        <v>12024.28</v>
      </c>
      <c r="K993" t="s">
        <v>52</v>
      </c>
      <c r="L993" t="s">
        <v>149</v>
      </c>
      <c r="M993" t="s">
        <v>175</v>
      </c>
      <c r="N993" t="s">
        <v>38</v>
      </c>
      <c r="O993" t="s">
        <v>23</v>
      </c>
    </row>
    <row r="994" spans="1:15" x14ac:dyDescent="0.3">
      <c r="A994" s="2" t="s">
        <v>290</v>
      </c>
      <c r="B994" s="2">
        <v>45701</v>
      </c>
      <c r="C994" t="s">
        <v>291</v>
      </c>
      <c r="D994" t="s">
        <v>17</v>
      </c>
      <c r="E994" t="s">
        <v>18</v>
      </c>
      <c r="F994" t="s">
        <v>18</v>
      </c>
      <c r="G994" s="6">
        <v>1</v>
      </c>
      <c r="H994" s="3">
        <v>25200</v>
      </c>
      <c r="I994" s="5">
        <v>0.16</v>
      </c>
      <c r="J994" s="4">
        <v>1008</v>
      </c>
      <c r="K994" t="s">
        <v>75</v>
      </c>
      <c r="L994" t="s">
        <v>86</v>
      </c>
      <c r="M994" t="s">
        <v>87</v>
      </c>
      <c r="N994" t="s">
        <v>38</v>
      </c>
      <c r="O994" t="s">
        <v>23</v>
      </c>
    </row>
    <row r="995" spans="1:15" x14ac:dyDescent="0.3">
      <c r="A995" s="2" t="s">
        <v>246</v>
      </c>
      <c r="B995" s="2">
        <v>45692</v>
      </c>
      <c r="C995" t="s">
        <v>247</v>
      </c>
      <c r="D995" t="s">
        <v>34</v>
      </c>
      <c r="E995" t="s">
        <v>143</v>
      </c>
      <c r="F995" t="s">
        <v>143</v>
      </c>
      <c r="G995" s="6">
        <v>2</v>
      </c>
      <c r="H995" s="3">
        <v>1280</v>
      </c>
      <c r="I995" s="5">
        <v>0.2</v>
      </c>
      <c r="J995" s="4">
        <v>231.36</v>
      </c>
      <c r="K995" t="s">
        <v>65</v>
      </c>
      <c r="L995" t="s">
        <v>159</v>
      </c>
      <c r="M995" t="s">
        <v>160</v>
      </c>
      <c r="N995" t="s">
        <v>38</v>
      </c>
      <c r="O995" t="s">
        <v>23</v>
      </c>
    </row>
    <row r="996" spans="1:15" x14ac:dyDescent="0.3">
      <c r="A996" s="2" t="s">
        <v>1147</v>
      </c>
      <c r="B996" s="2">
        <v>45968</v>
      </c>
      <c r="C996" t="s">
        <v>278</v>
      </c>
      <c r="D996" t="s">
        <v>47</v>
      </c>
      <c r="E996" t="s">
        <v>48</v>
      </c>
      <c r="F996" t="s">
        <v>48</v>
      </c>
      <c r="G996" s="6">
        <v>1</v>
      </c>
      <c r="H996" s="3">
        <v>22250</v>
      </c>
      <c r="I996" s="5">
        <v>0.11</v>
      </c>
      <c r="J996" s="4">
        <v>1982.61</v>
      </c>
      <c r="K996" t="s">
        <v>49</v>
      </c>
      <c r="L996" t="s">
        <v>97</v>
      </c>
      <c r="M996" t="s">
        <v>163</v>
      </c>
      <c r="N996" t="s">
        <v>31</v>
      </c>
      <c r="O996" t="s">
        <v>23</v>
      </c>
    </row>
    <row r="997" spans="1:15" x14ac:dyDescent="0.3">
      <c r="A997" s="2" t="s">
        <v>479</v>
      </c>
      <c r="B997" s="2">
        <v>45744</v>
      </c>
      <c r="C997" t="s">
        <v>424</v>
      </c>
      <c r="D997" t="s">
        <v>34</v>
      </c>
      <c r="E997" t="s">
        <v>35</v>
      </c>
      <c r="F997" t="s">
        <v>35</v>
      </c>
      <c r="G997" s="6">
        <v>1</v>
      </c>
      <c r="H997" s="3">
        <v>948</v>
      </c>
      <c r="I997" s="5">
        <v>0.21</v>
      </c>
      <c r="J997" s="4">
        <v>119.2</v>
      </c>
      <c r="K997" t="s">
        <v>19</v>
      </c>
      <c r="L997" t="s">
        <v>149</v>
      </c>
      <c r="M997" t="s">
        <v>150</v>
      </c>
      <c r="N997" t="s">
        <v>38</v>
      </c>
      <c r="O997" t="s">
        <v>23</v>
      </c>
    </row>
    <row r="998" spans="1:15" x14ac:dyDescent="0.3">
      <c r="A998" s="2" t="s">
        <v>1271</v>
      </c>
      <c r="B998" s="2">
        <v>46010</v>
      </c>
      <c r="C998" t="s">
        <v>429</v>
      </c>
      <c r="D998" t="s">
        <v>95</v>
      </c>
      <c r="E998" t="s">
        <v>96</v>
      </c>
      <c r="F998" t="s">
        <v>96</v>
      </c>
      <c r="G998" s="6">
        <v>1</v>
      </c>
      <c r="H998" s="3">
        <v>720</v>
      </c>
      <c r="I998" s="5">
        <v>0.2</v>
      </c>
      <c r="J998" s="4">
        <v>124.06</v>
      </c>
      <c r="K998" t="s">
        <v>75</v>
      </c>
      <c r="L998" t="s">
        <v>134</v>
      </c>
      <c r="M998" t="s">
        <v>135</v>
      </c>
      <c r="N998" t="s">
        <v>55</v>
      </c>
      <c r="O998" t="s">
        <v>44</v>
      </c>
    </row>
    <row r="999" spans="1:15" x14ac:dyDescent="0.3">
      <c r="A999" s="2" t="s">
        <v>1208</v>
      </c>
      <c r="B999" s="2">
        <v>45989</v>
      </c>
      <c r="C999" t="s">
        <v>459</v>
      </c>
      <c r="D999" t="s">
        <v>68</v>
      </c>
      <c r="E999" t="s">
        <v>120</v>
      </c>
      <c r="F999" t="s">
        <v>120</v>
      </c>
      <c r="G999" s="6">
        <v>1</v>
      </c>
      <c r="H999" s="3">
        <v>574</v>
      </c>
      <c r="I999" s="5">
        <v>0.18</v>
      </c>
      <c r="J999" s="4">
        <v>98.23</v>
      </c>
      <c r="K999" t="s">
        <v>28</v>
      </c>
      <c r="L999" t="s">
        <v>42</v>
      </c>
      <c r="M999" t="s">
        <v>43</v>
      </c>
      <c r="N999" t="s">
        <v>22</v>
      </c>
      <c r="O999" t="s">
        <v>23</v>
      </c>
    </row>
    <row r="1000" spans="1:15" x14ac:dyDescent="0.3">
      <c r="A1000" s="2" t="s">
        <v>911</v>
      </c>
      <c r="B1000" s="2">
        <v>45879</v>
      </c>
      <c r="C1000" t="s">
        <v>147</v>
      </c>
      <c r="D1000" t="s">
        <v>68</v>
      </c>
      <c r="E1000" t="s">
        <v>153</v>
      </c>
      <c r="F1000" t="s">
        <v>153</v>
      </c>
      <c r="G1000" s="6">
        <v>1</v>
      </c>
      <c r="H1000" s="3">
        <v>912</v>
      </c>
      <c r="I1000" s="5">
        <v>0.24</v>
      </c>
      <c r="J1000" s="4">
        <v>174.45</v>
      </c>
      <c r="K1000" t="s">
        <v>28</v>
      </c>
      <c r="L1000" t="s">
        <v>121</v>
      </c>
      <c r="M1000" t="s">
        <v>122</v>
      </c>
      <c r="N1000" t="s">
        <v>55</v>
      </c>
      <c r="O1000" t="s">
        <v>44</v>
      </c>
    </row>
    <row r="1001" spans="1:15" x14ac:dyDescent="0.3">
      <c r="A1001" s="2" t="s">
        <v>241</v>
      </c>
      <c r="B1001" s="2">
        <v>45690</v>
      </c>
      <c r="C1001" t="s">
        <v>242</v>
      </c>
      <c r="D1001" t="s">
        <v>58</v>
      </c>
      <c r="E1001" t="s">
        <v>77</v>
      </c>
      <c r="F1001" t="s">
        <v>77</v>
      </c>
      <c r="G1001" s="6">
        <v>2</v>
      </c>
      <c r="H1001" s="3">
        <v>2880</v>
      </c>
      <c r="I1001" s="5">
        <v>0.2</v>
      </c>
      <c r="J1001" s="4">
        <v>622.95000000000005</v>
      </c>
      <c r="K1001" t="s">
        <v>52</v>
      </c>
      <c r="L1001" t="s">
        <v>42</v>
      </c>
      <c r="M1001" t="s">
        <v>43</v>
      </c>
      <c r="N1001" t="s">
        <v>22</v>
      </c>
      <c r="O1001" t="s">
        <v>23</v>
      </c>
    </row>
  </sheetData>
  <sortState xmlns:xlrd2="http://schemas.microsoft.com/office/spreadsheetml/2017/richdata2" ref="A2:O1001">
    <sortCondition ref="A2:A100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F5" sqref="F5"/>
    </sheetView>
  </sheetViews>
  <sheetFormatPr defaultRowHeight="14.4" x14ac:dyDescent="0.3"/>
  <cols>
    <col min="1" max="1" width="14.88671875" bestFit="1" customWidth="1"/>
    <col min="2" max="2" width="28.21875" bestFit="1" customWidth="1"/>
  </cols>
  <sheetData>
    <row r="1" spans="1:2" x14ac:dyDescent="0.3">
      <c r="A1" s="1" t="s">
        <v>1303</v>
      </c>
      <c r="B1" s="1" t="s">
        <v>1304</v>
      </c>
    </row>
    <row r="2" spans="1:2" x14ac:dyDescent="0.3">
      <c r="A2" t="s">
        <v>0</v>
      </c>
      <c r="B2" t="s">
        <v>1305</v>
      </c>
    </row>
    <row r="3" spans="1:2" x14ac:dyDescent="0.3">
      <c r="A3" t="s">
        <v>1</v>
      </c>
      <c r="B3" t="s">
        <v>1306</v>
      </c>
    </row>
    <row r="4" spans="1:2" x14ac:dyDescent="0.3">
      <c r="A4" t="s">
        <v>2</v>
      </c>
      <c r="B4" t="s">
        <v>1307</v>
      </c>
    </row>
    <row r="5" spans="1:2" x14ac:dyDescent="0.3">
      <c r="A5" t="s">
        <v>3</v>
      </c>
      <c r="B5" t="s">
        <v>1308</v>
      </c>
    </row>
    <row r="6" spans="1:2" x14ac:dyDescent="0.3">
      <c r="A6" t="s">
        <v>4</v>
      </c>
      <c r="B6" t="s">
        <v>1309</v>
      </c>
    </row>
    <row r="7" spans="1:2" x14ac:dyDescent="0.3">
      <c r="A7" t="s">
        <v>5</v>
      </c>
      <c r="B7" t="s">
        <v>1310</v>
      </c>
    </row>
    <row r="8" spans="1:2" x14ac:dyDescent="0.3">
      <c r="A8" t="s">
        <v>6</v>
      </c>
      <c r="B8" t="s">
        <v>1311</v>
      </c>
    </row>
    <row r="9" spans="1:2" x14ac:dyDescent="0.3">
      <c r="A9" t="s">
        <v>7</v>
      </c>
      <c r="B9" t="s">
        <v>1312</v>
      </c>
    </row>
    <row r="10" spans="1:2" x14ac:dyDescent="0.3">
      <c r="A10" t="s">
        <v>8</v>
      </c>
      <c r="B10" t="s">
        <v>1313</v>
      </c>
    </row>
    <row r="11" spans="1:2" x14ac:dyDescent="0.3">
      <c r="A11" t="s">
        <v>9</v>
      </c>
      <c r="B11" t="s">
        <v>1314</v>
      </c>
    </row>
    <row r="12" spans="1:2" x14ac:dyDescent="0.3">
      <c r="A12" t="s">
        <v>10</v>
      </c>
      <c r="B12" t="s">
        <v>1315</v>
      </c>
    </row>
    <row r="13" spans="1:2" x14ac:dyDescent="0.3">
      <c r="A13" t="s">
        <v>11</v>
      </c>
      <c r="B13" t="s">
        <v>1316</v>
      </c>
    </row>
    <row r="14" spans="1:2" x14ac:dyDescent="0.3">
      <c r="A14" t="s">
        <v>12</v>
      </c>
      <c r="B14" t="s">
        <v>1317</v>
      </c>
    </row>
    <row r="15" spans="1:2" x14ac:dyDescent="0.3">
      <c r="A15" t="s">
        <v>13</v>
      </c>
      <c r="B15" t="s">
        <v>1318</v>
      </c>
    </row>
    <row r="16" spans="1:2" x14ac:dyDescent="0.3">
      <c r="A16" t="s">
        <v>14</v>
      </c>
      <c r="B16" t="s">
        <v>1319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E99C-AC27-447C-8DE4-D32EE4D74DB2}">
  <dimension ref="A1:G6"/>
  <sheetViews>
    <sheetView tabSelected="1" workbookViewId="0">
      <selection activeCell="G13" sqref="G13"/>
    </sheetView>
  </sheetViews>
  <sheetFormatPr defaultRowHeight="14.4" x14ac:dyDescent="0.3"/>
  <cols>
    <col min="1" max="1" width="15.109375" bestFit="1" customWidth="1"/>
    <col min="2" max="2" width="15.5546875" customWidth="1"/>
    <col min="3" max="3" width="14.21875" customWidth="1"/>
    <col min="4" max="4" width="21.5546875" customWidth="1"/>
    <col min="5" max="5" width="23.44140625" customWidth="1"/>
    <col min="6" max="6" width="15.109375" style="5" customWidth="1"/>
    <col min="7" max="7" width="20.21875" customWidth="1"/>
  </cols>
  <sheetData>
    <row r="1" spans="1:7" ht="36" x14ac:dyDescent="0.3">
      <c r="A1" s="14" t="s">
        <v>1327</v>
      </c>
      <c r="B1" s="14" t="s">
        <v>1321</v>
      </c>
      <c r="C1" s="14" t="s">
        <v>1322</v>
      </c>
      <c r="D1" s="14" t="s">
        <v>1323</v>
      </c>
      <c r="E1" s="14" t="s">
        <v>1324</v>
      </c>
      <c r="F1" s="15" t="s">
        <v>1325</v>
      </c>
      <c r="G1" s="14" t="s">
        <v>1326</v>
      </c>
    </row>
    <row r="2" spans="1:7" ht="18" x14ac:dyDescent="0.35">
      <c r="A2" s="16">
        <f>SUM(Raw_Data!H2:H1001)</f>
        <v>13709667.5</v>
      </c>
      <c r="B2" s="17">
        <f>SUM(Raw_Data!J2:J1001)</f>
        <v>1666946.8200000024</v>
      </c>
      <c r="C2" s="18">
        <f>COUNTA(Raw_Data!A2:A1001)</f>
        <v>1000</v>
      </c>
      <c r="D2" s="19">
        <f>SUM(Raw_Data!G2:G1001)</f>
        <v>2383</v>
      </c>
      <c r="E2" s="18">
        <f>AVERAGE(A2/C2)</f>
        <v>13709.6675</v>
      </c>
      <c r="F2" s="20">
        <f>AVERAGE(B2/A2)</f>
        <v>0.12158915013803233</v>
      </c>
      <c r="G2" s="20">
        <f>AVERAGE(Raw_Data!I2:I1001)</f>
        <v>0.1668499999999998</v>
      </c>
    </row>
    <row r="3" spans="1:7" x14ac:dyDescent="0.3">
      <c r="F3"/>
    </row>
    <row r="4" spans="1:7" x14ac:dyDescent="0.3">
      <c r="B4" s="13"/>
    </row>
    <row r="5" spans="1:7" x14ac:dyDescent="0.3">
      <c r="B5" s="13"/>
    </row>
    <row r="6" spans="1:7" x14ac:dyDescent="0.3">
      <c r="B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7AD3-A458-46B6-B6A0-C363BA67AA5A}">
  <dimension ref="A2:Q16"/>
  <sheetViews>
    <sheetView workbookViewId="0">
      <selection activeCell="P10" sqref="P10"/>
    </sheetView>
  </sheetViews>
  <sheetFormatPr defaultRowHeight="14.4" x14ac:dyDescent="0.3"/>
  <cols>
    <col min="1" max="1" width="14.21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 min="10" max="10" width="14.21875" bestFit="1" customWidth="1"/>
    <col min="11" max="11" width="12.109375" bestFit="1" customWidth="1"/>
    <col min="13" max="13" width="12.5546875" bestFit="1" customWidth="1"/>
    <col min="14" max="15" width="11.6640625" bestFit="1" customWidth="1"/>
    <col min="16" max="16" width="12.5546875" bestFit="1" customWidth="1"/>
    <col min="17" max="17" width="11.6640625" bestFit="1" customWidth="1"/>
    <col min="18" max="18" width="12.5546875" bestFit="1" customWidth="1"/>
    <col min="19" max="19" width="11.6640625" bestFit="1" customWidth="1"/>
  </cols>
  <sheetData>
    <row r="2" spans="1:17" x14ac:dyDescent="0.3">
      <c r="A2" s="24" t="s">
        <v>1332</v>
      </c>
      <c r="D2" s="24" t="s">
        <v>1333</v>
      </c>
      <c r="G2" s="24" t="s">
        <v>1334</v>
      </c>
      <c r="J2" s="24" t="s">
        <v>1335</v>
      </c>
      <c r="M2" s="24" t="s">
        <v>1336</v>
      </c>
      <c r="P2" s="24" t="s">
        <v>1337</v>
      </c>
    </row>
    <row r="3" spans="1:17" x14ac:dyDescent="0.3">
      <c r="A3" s="21" t="s">
        <v>1328</v>
      </c>
      <c r="B3" t="s">
        <v>1330</v>
      </c>
      <c r="D3" s="21" t="s">
        <v>1328</v>
      </c>
      <c r="E3" t="s">
        <v>1330</v>
      </c>
      <c r="G3" s="21" t="s">
        <v>1328</v>
      </c>
      <c r="H3" t="s">
        <v>1330</v>
      </c>
      <c r="J3" s="21" t="s">
        <v>1328</v>
      </c>
      <c r="K3" t="s">
        <v>1331</v>
      </c>
      <c r="M3" s="21" t="s">
        <v>1328</v>
      </c>
      <c r="N3" t="s">
        <v>1330</v>
      </c>
      <c r="P3" s="21" t="s">
        <v>1328</v>
      </c>
      <c r="Q3" t="s">
        <v>1330</v>
      </c>
    </row>
    <row r="4" spans="1:17" x14ac:dyDescent="0.3">
      <c r="A4" s="22" t="s">
        <v>58</v>
      </c>
      <c r="B4" s="3">
        <v>291279.5</v>
      </c>
      <c r="D4" s="22" t="s">
        <v>22</v>
      </c>
      <c r="E4" s="3">
        <v>1840733</v>
      </c>
      <c r="G4" s="22" t="s">
        <v>1338</v>
      </c>
      <c r="H4" s="3">
        <v>996608.5</v>
      </c>
      <c r="J4" s="22" t="s">
        <v>58</v>
      </c>
      <c r="K4" s="4">
        <v>51179.63</v>
      </c>
      <c r="M4" s="22" t="s">
        <v>74</v>
      </c>
      <c r="N4" s="3">
        <v>950040</v>
      </c>
      <c r="P4" s="22" t="s">
        <v>21</v>
      </c>
      <c r="Q4" s="3">
        <v>762066</v>
      </c>
    </row>
    <row r="5" spans="1:17" x14ac:dyDescent="0.3">
      <c r="A5" s="22" t="s">
        <v>68</v>
      </c>
      <c r="B5" s="3">
        <v>160631</v>
      </c>
      <c r="D5" s="22" t="s">
        <v>31</v>
      </c>
      <c r="E5" s="3">
        <v>3596598.5</v>
      </c>
      <c r="G5" s="22" t="s">
        <v>1339</v>
      </c>
      <c r="H5" s="3">
        <v>917585</v>
      </c>
      <c r="J5" s="22" t="s">
        <v>68</v>
      </c>
      <c r="K5" s="4">
        <v>29914.960000000006</v>
      </c>
      <c r="M5" s="22" t="s">
        <v>148</v>
      </c>
      <c r="N5" s="3">
        <v>1000720</v>
      </c>
      <c r="P5" s="22" t="s">
        <v>30</v>
      </c>
      <c r="Q5" s="3">
        <v>739509.5</v>
      </c>
    </row>
    <row r="6" spans="1:17" x14ac:dyDescent="0.3">
      <c r="A6" s="22" t="s">
        <v>47</v>
      </c>
      <c r="B6" s="3">
        <v>5893972</v>
      </c>
      <c r="D6" s="22" t="s">
        <v>55</v>
      </c>
      <c r="E6" s="3">
        <v>2767523.5</v>
      </c>
      <c r="G6" s="22" t="s">
        <v>1340</v>
      </c>
      <c r="H6" s="3">
        <v>1067175</v>
      </c>
      <c r="J6" s="22" t="s">
        <v>47</v>
      </c>
      <c r="K6" s="4">
        <v>717342.99999999977</v>
      </c>
      <c r="M6" s="22" t="s">
        <v>48</v>
      </c>
      <c r="N6" s="3">
        <v>1406000</v>
      </c>
      <c r="P6" s="22" t="s">
        <v>163</v>
      </c>
      <c r="Q6" s="3">
        <v>732440.5</v>
      </c>
    </row>
    <row r="7" spans="1:17" x14ac:dyDescent="0.3">
      <c r="A7" s="22" t="s">
        <v>26</v>
      </c>
      <c r="B7" s="3">
        <v>501842</v>
      </c>
      <c r="D7" s="22" t="s">
        <v>38</v>
      </c>
      <c r="E7" s="3">
        <v>5504812.5</v>
      </c>
      <c r="G7" s="22" t="s">
        <v>1341</v>
      </c>
      <c r="H7" s="3">
        <v>1077362.5</v>
      </c>
      <c r="J7" s="22" t="s">
        <v>26</v>
      </c>
      <c r="K7" s="4">
        <v>86691.439999999959</v>
      </c>
      <c r="M7" s="22" t="s">
        <v>224</v>
      </c>
      <c r="N7" s="3">
        <v>279500</v>
      </c>
      <c r="P7" s="22" t="s">
        <v>101</v>
      </c>
      <c r="Q7" s="3">
        <v>698064.5</v>
      </c>
    </row>
    <row r="8" spans="1:17" x14ac:dyDescent="0.3">
      <c r="A8" s="22" t="s">
        <v>17</v>
      </c>
      <c r="B8" s="3">
        <v>5229830</v>
      </c>
      <c r="D8" s="22" t="s">
        <v>1329</v>
      </c>
      <c r="E8" s="3">
        <v>13709667.5</v>
      </c>
      <c r="G8" s="22" t="s">
        <v>1342</v>
      </c>
      <c r="H8" s="3">
        <v>1151252</v>
      </c>
      <c r="J8" s="22" t="s">
        <v>17</v>
      </c>
      <c r="K8" s="4">
        <v>549894.34000000008</v>
      </c>
      <c r="M8" s="22" t="s">
        <v>85</v>
      </c>
      <c r="N8" s="3">
        <v>536025</v>
      </c>
      <c r="P8" s="22" t="s">
        <v>54</v>
      </c>
      <c r="Q8" s="3">
        <v>794065.5</v>
      </c>
    </row>
    <row r="9" spans="1:17" x14ac:dyDescent="0.3">
      <c r="A9" s="22" t="s">
        <v>34</v>
      </c>
      <c r="B9" s="3">
        <v>1244024</v>
      </c>
      <c r="G9" s="22" t="s">
        <v>1343</v>
      </c>
      <c r="H9" s="3">
        <v>898385.5</v>
      </c>
      <c r="J9" s="22" t="s">
        <v>34</v>
      </c>
      <c r="K9" s="4">
        <v>172144.25999999998</v>
      </c>
      <c r="M9" s="22" t="s">
        <v>194</v>
      </c>
      <c r="N9" s="3">
        <v>2845150</v>
      </c>
      <c r="P9" s="22" t="s">
        <v>37</v>
      </c>
      <c r="Q9" s="3">
        <v>823961</v>
      </c>
    </row>
    <row r="10" spans="1:17" x14ac:dyDescent="0.3">
      <c r="A10" s="22" t="s">
        <v>95</v>
      </c>
      <c r="B10" s="3">
        <v>388089</v>
      </c>
      <c r="G10" s="22" t="s">
        <v>1344</v>
      </c>
      <c r="H10" s="3">
        <v>1160231</v>
      </c>
      <c r="J10" s="22" t="s">
        <v>95</v>
      </c>
      <c r="K10" s="4">
        <v>59779.189999999973</v>
      </c>
      <c r="M10" s="22" t="s">
        <v>158</v>
      </c>
      <c r="N10" s="3">
        <v>1677500</v>
      </c>
      <c r="P10" s="22" t="s">
        <v>128</v>
      </c>
      <c r="Q10" s="3">
        <v>747247</v>
      </c>
    </row>
    <row r="11" spans="1:17" x14ac:dyDescent="0.3">
      <c r="A11" s="22" t="s">
        <v>1329</v>
      </c>
      <c r="B11" s="3">
        <v>13709667.5</v>
      </c>
      <c r="G11" s="22" t="s">
        <v>1345</v>
      </c>
      <c r="H11" s="3">
        <v>1745306</v>
      </c>
      <c r="J11" s="22" t="s">
        <v>1329</v>
      </c>
      <c r="K11" s="4">
        <v>1666946.8199999996</v>
      </c>
      <c r="M11" s="22" t="s">
        <v>90</v>
      </c>
      <c r="N11" s="3">
        <v>319950</v>
      </c>
      <c r="P11" s="22" t="s">
        <v>135</v>
      </c>
      <c r="Q11" s="3">
        <v>892272.5</v>
      </c>
    </row>
    <row r="12" spans="1:17" x14ac:dyDescent="0.3">
      <c r="G12" s="22" t="s">
        <v>1346</v>
      </c>
      <c r="H12" s="3">
        <v>943822.5</v>
      </c>
      <c r="M12" s="22" t="s">
        <v>18</v>
      </c>
      <c r="N12" s="3">
        <v>1452600</v>
      </c>
      <c r="P12" s="22" t="s">
        <v>209</v>
      </c>
      <c r="Q12" s="3">
        <v>907848</v>
      </c>
    </row>
    <row r="13" spans="1:17" x14ac:dyDescent="0.3">
      <c r="G13" s="22" t="s">
        <v>1347</v>
      </c>
      <c r="H13" s="3">
        <v>1194788.5</v>
      </c>
      <c r="M13" s="22" t="s">
        <v>227</v>
      </c>
      <c r="N13" s="3">
        <v>418405</v>
      </c>
      <c r="P13" s="22" t="s">
        <v>171</v>
      </c>
      <c r="Q13" s="3">
        <v>717267.5</v>
      </c>
    </row>
    <row r="14" spans="1:17" x14ac:dyDescent="0.3">
      <c r="G14" s="22" t="s">
        <v>1348</v>
      </c>
      <c r="H14" s="3">
        <v>1889562</v>
      </c>
      <c r="M14" s="22" t="s">
        <v>1329</v>
      </c>
      <c r="N14" s="3">
        <v>10885890</v>
      </c>
      <c r="P14" s="22" t="s">
        <v>1329</v>
      </c>
      <c r="Q14" s="3">
        <v>7814742</v>
      </c>
    </row>
    <row r="15" spans="1:17" x14ac:dyDescent="0.3">
      <c r="G15" s="22" t="s">
        <v>1349</v>
      </c>
      <c r="H15" s="3">
        <v>667589</v>
      </c>
    </row>
    <row r="16" spans="1:17" x14ac:dyDescent="0.3">
      <c r="G16" s="23" t="s">
        <v>1329</v>
      </c>
      <c r="H16" s="3">
        <v>13709667.5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65D4-1E8E-4D6E-BECD-7D1C62FD6C95}">
  <dimension ref="B1:N22"/>
  <sheetViews>
    <sheetView showGridLines="0" zoomScale="68" zoomScaleNormal="68" workbookViewId="0">
      <selection activeCell="AA10" sqref="AA10"/>
    </sheetView>
  </sheetViews>
  <sheetFormatPr defaultRowHeight="14.4" x14ac:dyDescent="0.3"/>
  <cols>
    <col min="1" max="1" width="5.33203125" customWidth="1"/>
    <col min="2" max="2" width="26.44140625" bestFit="1" customWidth="1"/>
    <col min="4" max="4" width="21.77734375" bestFit="1" customWidth="1"/>
    <col min="6" max="6" width="17.44140625" bestFit="1" customWidth="1"/>
    <col min="7" max="7" width="1" customWidth="1"/>
    <col min="8" max="8" width="33" bestFit="1" customWidth="1"/>
    <col min="9" max="9" width="21.33203125" bestFit="1" customWidth="1"/>
  </cols>
  <sheetData>
    <row r="1" spans="2:14" ht="21" x14ac:dyDescent="0.4">
      <c r="B1" s="34" t="s">
        <v>1320</v>
      </c>
      <c r="C1" s="25"/>
      <c r="D1" s="35" t="s">
        <v>1321</v>
      </c>
      <c r="E1" s="25"/>
      <c r="F1" s="36" t="s">
        <v>1325</v>
      </c>
      <c r="H1" s="37" t="s">
        <v>1350</v>
      </c>
      <c r="I1" s="38"/>
      <c r="J1" s="38"/>
      <c r="K1" s="38"/>
      <c r="L1" s="38"/>
      <c r="M1" s="38"/>
      <c r="N1" s="39"/>
    </row>
    <row r="2" spans="2:14" ht="18" hidden="1" customHeight="1" x14ac:dyDescent="0.3">
      <c r="B2" s="26"/>
      <c r="C2" s="27"/>
      <c r="D2" s="27"/>
      <c r="E2" s="27"/>
      <c r="F2" s="28"/>
      <c r="H2" s="40"/>
      <c r="I2" s="41"/>
      <c r="J2" s="41"/>
      <c r="K2" s="41"/>
      <c r="L2" s="41"/>
      <c r="M2" s="41"/>
      <c r="N2" s="42"/>
    </row>
    <row r="3" spans="2:14" ht="36" customHeight="1" thickBot="1" x14ac:dyDescent="0.35">
      <c r="B3" s="31">
        <f>GETPIVOTDATA("Sales",pivot_table!$A$3)</f>
        <v>13709667.5</v>
      </c>
      <c r="C3" s="29"/>
      <c r="D3" s="32">
        <f>GETPIVOTDATA("Profit",pivot_table!$J$3)</f>
        <v>1666946.8199999996</v>
      </c>
      <c r="E3" s="29"/>
      <c r="F3" s="33">
        <f>D3/B3</f>
        <v>0.12158915013803213</v>
      </c>
      <c r="H3" s="43"/>
      <c r="I3" s="44">
        <f>GETPIVOTDATA("Sales",pivot_table!$A$3)</f>
        <v>13709667.5</v>
      </c>
      <c r="J3" s="44"/>
      <c r="K3" s="45"/>
      <c r="L3" s="45"/>
      <c r="M3" s="45"/>
      <c r="N3" s="46"/>
    </row>
    <row r="7" spans="2:14" x14ac:dyDescent="0.3">
      <c r="B7" s="30"/>
    </row>
    <row r="20" spans="2:6" ht="18" x14ac:dyDescent="0.35">
      <c r="B20" s="47"/>
      <c r="C20" s="47"/>
      <c r="D20" s="47"/>
      <c r="E20" s="47"/>
      <c r="F20" s="47"/>
    </row>
    <row r="21" spans="2:6" x14ac:dyDescent="0.3">
      <c r="B21" s="48"/>
      <c r="C21" s="48"/>
      <c r="D21" s="48"/>
      <c r="E21" s="48"/>
      <c r="F21" s="48"/>
    </row>
    <row r="22" spans="2:6" x14ac:dyDescent="0.3">
      <c r="B22" s="48"/>
      <c r="C22" s="48"/>
      <c r="D22" s="48"/>
      <c r="E22" s="48"/>
      <c r="F22" s="48"/>
    </row>
  </sheetData>
  <mergeCells count="2">
    <mergeCell ref="H1:N1"/>
    <mergeCell ref="I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Data_Dictionary</vt:lpstr>
      <vt:lpstr>Calculations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 kumawat</cp:lastModifiedBy>
  <dcterms:created xsi:type="dcterms:W3CDTF">2026-10-03T05:15:24Z</dcterms:created>
  <dcterms:modified xsi:type="dcterms:W3CDTF">2026-10-03T12:29:59Z</dcterms:modified>
</cp:coreProperties>
</file>